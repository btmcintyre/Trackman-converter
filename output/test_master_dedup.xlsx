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Wood" sheetId="1" state="visible" r:id="rId1"/>
    <sheet name="Driver" sheetId="2" state="visible" r:id="rId2"/>
    <sheet name="7Iron" sheetId="3" state="visible" r:id="rId3"/>
    <sheet name="9Iron" sheetId="4" state="visible" r:id="rId4"/>
  </sheets>
  <definedNames>
    <definedName name="_xlnm._FilterDatabase" localSheetId="0" hidden="1">'5Wood'!$A$1:$AE$14</definedName>
    <definedName name="_xlnm._FilterDatabase" localSheetId="1" hidden="1">'Driver'!$A$1:$AE$18</definedName>
    <definedName name="_xlnm._FilterDatabase" localSheetId="2" hidden="1">'7Iron'!$A$1:$AE$55</definedName>
    <definedName name="_xlnm._FilterDatabase" localSheetId="3" hidden="1">'9Iron'!$A$1:$AE$13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2" borderId="0" applyAlignment="1" pivotButton="0" quotePrefix="0" xfId="0">
      <alignment horizontal="left" vertical="center"/>
    </xf>
    <xf numFmtId="1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165" fontId="0" fillId="2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46078.5890625</v>
      </c>
      <c r="B2" s="3" t="n">
        <v>82.22</v>
      </c>
      <c r="C2" s="3" t="n">
        <v>101.93</v>
      </c>
      <c r="D2" s="4" t="n">
        <v>1.24</v>
      </c>
      <c r="E2" s="3" t="n">
        <v>142.66</v>
      </c>
      <c r="F2" s="3" t="n">
        <v>176.36</v>
      </c>
      <c r="G2" s="3" t="n">
        <v>3.56</v>
      </c>
      <c r="H2" s="3" t="n">
        <v>-6.81</v>
      </c>
      <c r="I2" s="3" t="n">
        <v>0.8</v>
      </c>
      <c r="J2" s="3" t="n">
        <v>0.82</v>
      </c>
      <c r="K2" s="3" t="n">
        <v>0.02</v>
      </c>
      <c r="L2" s="3" t="n">
        <v>0.8100000000000001</v>
      </c>
      <c r="M2" s="5" t="n">
        <v>-0.2</v>
      </c>
      <c r="N2" s="3" t="n">
        <v>18.5</v>
      </c>
      <c r="O2" s="3" t="n">
        <v>16.43</v>
      </c>
      <c r="P2" s="3" t="n">
        <v>18.87</v>
      </c>
      <c r="Q2" s="3" t="n">
        <v>2092.96</v>
      </c>
      <c r="R2" s="3" t="n">
        <v>1.08</v>
      </c>
      <c r="S2" s="3" t="n">
        <v>1.82</v>
      </c>
      <c r="T2" s="3" t="n">
        <v>7.85</v>
      </c>
      <c r="U2" s="3" t="n">
        <v>10.2</v>
      </c>
      <c r="V2" s="3" t="n">
        <v>43.23</v>
      </c>
      <c r="W2" s="3" t="n">
        <v>26.78</v>
      </c>
      <c r="X2" s="3" t="n">
        <v>0.29</v>
      </c>
      <c r="Y2" s="3" t="n">
        <v>67.5</v>
      </c>
      <c r="Z2" s="3" t="n">
        <v>1.23</v>
      </c>
      <c r="AA2" s="3" t="n">
        <v>0.23</v>
      </c>
      <c r="AB2" s="5" t="n">
        <v>-0.51</v>
      </c>
      <c r="AC2" s="3" t="n">
        <v/>
      </c>
      <c r="AD2" s="3" t="n">
        <v>4.11</v>
      </c>
      <c r="AE2" s="3" t="n">
        <v>58.8</v>
      </c>
    </row>
    <row r="3">
      <c r="A3" s="6" t="n">
        <v>46078.59006944444</v>
      </c>
      <c r="B3" s="7" t="n">
        <v>87.13</v>
      </c>
      <c r="C3" s="7" t="n">
        <v>111.72</v>
      </c>
      <c r="D3" s="8" t="n">
        <v>1.28</v>
      </c>
      <c r="E3" s="7" t="n">
        <v>169.26</v>
      </c>
      <c r="F3" s="7" t="n">
        <v>200.87</v>
      </c>
      <c r="G3" s="7" t="n">
        <v>3.98</v>
      </c>
      <c r="H3" s="7" t="n">
        <v>-10.69</v>
      </c>
      <c r="I3" s="7" t="n">
        <v>1.4</v>
      </c>
      <c r="J3" s="7" t="n">
        <v>1.82</v>
      </c>
      <c r="K3" s="7" t="n">
        <v>0.42</v>
      </c>
      <c r="L3" s="7" t="n">
        <v>1.78</v>
      </c>
      <c r="M3" s="9" t="n">
        <v>-1.8</v>
      </c>
      <c r="N3" s="7" t="n">
        <v>18.53</v>
      </c>
      <c r="O3" s="7" t="n">
        <v>16.34</v>
      </c>
      <c r="P3" s="7" t="n">
        <v>20.39</v>
      </c>
      <c r="Q3" s="7" t="n">
        <v>2426.27</v>
      </c>
      <c r="R3" s="7" t="n">
        <v>3.31</v>
      </c>
      <c r="S3" s="7" t="n">
        <v>8.44</v>
      </c>
      <c r="T3" s="7" t="n">
        <v>24.23</v>
      </c>
      <c r="U3" s="7" t="n">
        <v>30.53</v>
      </c>
      <c r="V3" s="7" t="n">
        <v>56.78</v>
      </c>
      <c r="W3" s="7" t="n">
        <v>30.58</v>
      </c>
      <c r="X3" s="7" t="n">
        <v>0.36</v>
      </c>
      <c r="Y3" s="7" t="n">
        <v>66.03</v>
      </c>
      <c r="Z3" s="7" t="n">
        <v>1.24</v>
      </c>
      <c r="AA3" s="7" t="n">
        <v>0.91</v>
      </c>
      <c r="AB3" s="9" t="n">
        <v>0.9399999999999999</v>
      </c>
      <c r="AC3" s="7" t="n">
        <v/>
      </c>
      <c r="AD3" s="7" t="n">
        <v>4.83</v>
      </c>
      <c r="AE3" s="7" t="n">
        <v>59.42</v>
      </c>
    </row>
    <row r="4">
      <c r="A4" s="2" t="n">
        <v>46078.59112268518</v>
      </c>
      <c r="B4" s="3" t="n">
        <v>86.93000000000001</v>
      </c>
      <c r="C4" s="3" t="n">
        <v>112.94</v>
      </c>
      <c r="D4" s="4" t="n">
        <v>1.3</v>
      </c>
      <c r="E4" s="3" t="n">
        <v>172.74</v>
      </c>
      <c r="F4" s="3" t="n">
        <v>195.57</v>
      </c>
      <c r="G4" s="3" t="n">
        <v>2.02</v>
      </c>
      <c r="H4" s="3" t="n">
        <v>-21.61</v>
      </c>
      <c r="I4" s="3" t="n">
        <v>2.4</v>
      </c>
      <c r="J4" s="3" t="n">
        <v>-0.02</v>
      </c>
      <c r="K4" s="3" t="n">
        <v>-2.42</v>
      </c>
      <c r="L4" s="3" t="n">
        <v>0.33</v>
      </c>
      <c r="M4" s="5" t="n">
        <v>-1.4</v>
      </c>
      <c r="N4" s="3" t="n">
        <v>19.48</v>
      </c>
      <c r="O4" s="3" t="n">
        <v>16.64</v>
      </c>
      <c r="P4" s="3" t="n">
        <v>21.09</v>
      </c>
      <c r="Q4" s="3" t="n">
        <v>3208.11</v>
      </c>
      <c r="R4" s="3" t="n">
        <v>-0.09</v>
      </c>
      <c r="S4" s="3" t="n">
        <v>-0.31</v>
      </c>
      <c r="T4" s="3" t="n">
        <v>2.71</v>
      </c>
      <c r="U4" s="3" t="n">
        <v>3.02</v>
      </c>
      <c r="V4" s="3" t="n">
        <v>67.38</v>
      </c>
      <c r="W4" s="3" t="n">
        <v>35.65</v>
      </c>
      <c r="X4" s="3" t="n">
        <v>1.35</v>
      </c>
      <c r="Y4" s="3" t="n">
        <v>62</v>
      </c>
      <c r="Z4" s="3" t="n">
        <v>1.29</v>
      </c>
      <c r="AA4" s="3" t="n">
        <v>-6.42</v>
      </c>
      <c r="AB4" s="5" t="n">
        <v>0.71</v>
      </c>
      <c r="AC4" s="3" t="n">
        <v/>
      </c>
      <c r="AD4" s="3" t="n">
        <v>5.3</v>
      </c>
      <c r="AE4" s="3" t="n">
        <v>58.65</v>
      </c>
    </row>
    <row r="5">
      <c r="A5" s="6" t="n">
        <v>46078.59266203704</v>
      </c>
      <c r="B5" s="7" t="n">
        <v>85.68000000000001</v>
      </c>
      <c r="C5" s="7" t="n">
        <v>104.64</v>
      </c>
      <c r="D5" s="8" t="n">
        <v>1.22</v>
      </c>
      <c r="E5" s="7" t="n">
        <v>152.89</v>
      </c>
      <c r="F5" s="7" t="n">
        <v>184.46</v>
      </c>
      <c r="G5" s="7" t="n">
        <v>3.32</v>
      </c>
      <c r="H5" s="7" t="n">
        <v>-23.7</v>
      </c>
      <c r="I5" s="7" t="n">
        <v>3</v>
      </c>
      <c r="J5" s="7" t="n">
        <v>-0.47</v>
      </c>
      <c r="K5" s="7" t="n">
        <v>-3.47</v>
      </c>
      <c r="L5" s="7" t="n">
        <v>-0.06</v>
      </c>
      <c r="M5" s="9" t="n">
        <v>-1.6</v>
      </c>
      <c r="N5" s="7" t="n">
        <v>19.23</v>
      </c>
      <c r="O5" s="7" t="n">
        <v>16.87</v>
      </c>
      <c r="P5" s="7" t="n">
        <v>21.27</v>
      </c>
      <c r="Q5" s="7" t="n">
        <v>2485.49</v>
      </c>
      <c r="R5" s="7" t="n">
        <v>-3.7</v>
      </c>
      <c r="S5" s="7" t="n">
        <v>-8.09</v>
      </c>
      <c r="T5" s="7" t="n">
        <v>-8.58</v>
      </c>
      <c r="U5" s="7" t="n">
        <v>-12.25</v>
      </c>
      <c r="V5" s="7" t="n">
        <v>51.18</v>
      </c>
      <c r="W5" s="7" t="n">
        <v>29.98</v>
      </c>
      <c r="X5" s="7" t="n">
        <v>2</v>
      </c>
      <c r="Y5" s="7" t="n">
        <v>69.48999999999999</v>
      </c>
      <c r="Z5" s="7" t="n">
        <v>1.31</v>
      </c>
      <c r="AA5" s="7" t="n">
        <v>-8.91</v>
      </c>
      <c r="AB5" s="9" t="n">
        <v>0.87</v>
      </c>
      <c r="AC5" s="7" t="n">
        <v/>
      </c>
      <c r="AD5" s="7" t="n">
        <v>4.54</v>
      </c>
      <c r="AE5" s="7" t="n">
        <v>59.33</v>
      </c>
    </row>
    <row r="6">
      <c r="A6" s="2" t="n">
        <v>46078.58934027778</v>
      </c>
      <c r="B6" s="3" t="n">
        <v>84.40000000000001</v>
      </c>
      <c r="C6" s="3" t="n">
        <v>107.22</v>
      </c>
      <c r="D6" s="4" t="n">
        <v>1.27</v>
      </c>
      <c r="E6" s="3" t="n">
        <v>151.02</v>
      </c>
      <c r="F6" s="3" t="n">
        <v>184.23</v>
      </c>
      <c r="G6" s="3" t="n">
        <v>5.67</v>
      </c>
      <c r="H6" s="3" t="n">
        <v>1.49</v>
      </c>
      <c r="I6" s="3" t="n">
        <v>0.8</v>
      </c>
      <c r="J6" s="3" t="n">
        <v>-3.56</v>
      </c>
      <c r="K6" s="3" t="n">
        <v>-4.36</v>
      </c>
      <c r="L6" s="3" t="n">
        <v>-2.99</v>
      </c>
      <c r="M6" s="5" t="n">
        <v>-0.8</v>
      </c>
      <c r="N6" s="3" t="n">
        <v>16.84</v>
      </c>
      <c r="O6" s="3" t="n">
        <v>14.58</v>
      </c>
      <c r="P6" s="3" t="n">
        <v>18.32</v>
      </c>
      <c r="Q6" s="3" t="n">
        <v>2477.78</v>
      </c>
      <c r="R6" s="3" t="n">
        <v>-12.04</v>
      </c>
      <c r="S6" s="3" t="n">
        <v>-24.72</v>
      </c>
      <c r="T6" s="3" t="n">
        <v>-48.28</v>
      </c>
      <c r="U6" s="3" t="n">
        <v>-65.39</v>
      </c>
      <c r="V6" s="3" t="n">
        <v>42.91</v>
      </c>
      <c r="W6" s="3" t="n">
        <v>26.2</v>
      </c>
      <c r="X6" s="3" t="n">
        <v>0.12</v>
      </c>
      <c r="Y6" s="3" t="n">
        <v>73.31999999999999</v>
      </c>
      <c r="Z6" s="3" t="n">
        <v>1.21</v>
      </c>
      <c r="AA6" s="3" t="n">
        <v>-13.09</v>
      </c>
      <c r="AB6" s="5" t="n">
        <v>0</v>
      </c>
      <c r="AC6" s="3" t="n">
        <v/>
      </c>
      <c r="AD6" s="3" t="n">
        <v>4.25</v>
      </c>
      <c r="AE6" s="3" t="n">
        <v>62.74</v>
      </c>
    </row>
    <row r="7">
      <c r="A7" s="6" t="n">
        <v>46078.58972222222</v>
      </c>
      <c r="B7" s="7" t="n">
        <v>85.64</v>
      </c>
      <c r="C7" s="7" t="n">
        <v>120.26</v>
      </c>
      <c r="D7" s="8" t="n">
        <v>1.4</v>
      </c>
      <c r="E7" s="7" t="n">
        <v>179.06</v>
      </c>
      <c r="F7" s="7" t="n">
        <v>210.07</v>
      </c>
      <c r="G7" s="7" t="n">
        <v>0.97</v>
      </c>
      <c r="H7" s="7" t="n">
        <v>-11.14</v>
      </c>
      <c r="I7" s="7" t="n">
        <v>0.6</v>
      </c>
      <c r="J7" s="7" t="n">
        <v>-7.23</v>
      </c>
      <c r="K7" s="7" t="n">
        <v>-7.83</v>
      </c>
      <c r="L7" s="7" t="n">
        <v>-6.12</v>
      </c>
      <c r="M7" s="9" t="n">
        <v>-2</v>
      </c>
      <c r="N7" s="7" t="n">
        <v>15.43</v>
      </c>
      <c r="O7" s="7" t="n">
        <v>13.05</v>
      </c>
      <c r="P7" s="7" t="n">
        <v>19.19</v>
      </c>
      <c r="Q7" s="7" t="n">
        <v>3115.98</v>
      </c>
      <c r="R7" s="7" t="n">
        <v>-17.43</v>
      </c>
      <c r="S7" s="7" t="n">
        <v>-56.11</v>
      </c>
      <c r="T7" s="7" t="n">
        <v>-112.8</v>
      </c>
      <c r="U7" s="7" t="n">
        <v>-143.78</v>
      </c>
      <c r="V7" s="7" t="n">
        <v>54.19</v>
      </c>
      <c r="W7" s="7" t="n">
        <v>29.73</v>
      </c>
      <c r="X7" s="7" t="n">
        <v>-0.86</v>
      </c>
      <c r="Y7" s="7" t="n">
        <v>62.46</v>
      </c>
      <c r="Z7" s="7" t="n">
        <v>1.25</v>
      </c>
      <c r="AA7" s="7" t="n">
        <v>-23.39</v>
      </c>
      <c r="AB7" s="9" t="n">
        <v>1.3</v>
      </c>
      <c r="AC7" s="7" t="n">
        <v/>
      </c>
      <c r="AD7" s="7" t="n">
        <v>4.96</v>
      </c>
      <c r="AE7" s="7" t="n">
        <v>60.97</v>
      </c>
    </row>
    <row r="8">
      <c r="A8" s="2" t="n">
        <v>46078.5905787037</v>
      </c>
      <c r="B8" s="3" t="n">
        <v>87.70999999999999</v>
      </c>
      <c r="C8" s="3" t="n">
        <v>119.73</v>
      </c>
      <c r="D8" s="4" t="n">
        <v>1.37</v>
      </c>
      <c r="E8" s="3" t="n">
        <v>184.21</v>
      </c>
      <c r="F8" s="3" t="n">
        <v>213.05</v>
      </c>
      <c r="G8" s="3" t="n">
        <v>2.38</v>
      </c>
      <c r="H8" s="3" t="n">
        <v>-9.76</v>
      </c>
      <c r="I8" s="3" t="n">
        <v>1.4</v>
      </c>
      <c r="J8" s="3" t="n">
        <v>-2.71</v>
      </c>
      <c r="K8" s="3" t="n">
        <v>-4.11</v>
      </c>
      <c r="L8" s="3" t="n">
        <v>-2.15</v>
      </c>
      <c r="M8" s="5" t="n">
        <v>-1.8</v>
      </c>
      <c r="N8" s="3" t="n">
        <v>16.77</v>
      </c>
      <c r="O8" s="3" t="n">
        <v>14.31</v>
      </c>
      <c r="P8" s="3" t="n">
        <v>19.07</v>
      </c>
      <c r="Q8" s="3" t="n">
        <v>2989</v>
      </c>
      <c r="R8" s="3" t="n">
        <v>-8.27</v>
      </c>
      <c r="S8" s="3" t="n">
        <v>-28.01</v>
      </c>
      <c r="T8" s="3" t="n">
        <v>-48.7</v>
      </c>
      <c r="U8" s="3" t="n">
        <v>-61.45</v>
      </c>
      <c r="V8" s="3" t="n">
        <v>61.67</v>
      </c>
      <c r="W8" s="3" t="n">
        <v>32.23</v>
      </c>
      <c r="X8" s="3" t="n">
        <v>0.04</v>
      </c>
      <c r="Y8" s="3" t="n">
        <v>62.92</v>
      </c>
      <c r="Z8" s="3" t="n">
        <v>1.21</v>
      </c>
      <c r="AA8" s="3" t="n">
        <v>-11.87</v>
      </c>
      <c r="AB8" s="5" t="n">
        <v>0.98</v>
      </c>
      <c r="AC8" s="3" t="n">
        <v/>
      </c>
      <c r="AD8" s="3" t="n">
        <v>5.23</v>
      </c>
      <c r="AE8" s="3" t="n">
        <v>60.68</v>
      </c>
    </row>
    <row r="9">
      <c r="A9" s="6" t="n">
        <v>46078.59208333334</v>
      </c>
      <c r="B9" s="7" t="n">
        <v>86.66</v>
      </c>
      <c r="C9" s="7" t="n">
        <v>107.71</v>
      </c>
      <c r="D9" s="8" t="n">
        <v>1.24</v>
      </c>
      <c r="E9" s="7" t="n">
        <v>162.08</v>
      </c>
      <c r="F9" s="7" t="n">
        <v>189.7</v>
      </c>
      <c r="G9" s="7" t="n">
        <v>1.96</v>
      </c>
      <c r="H9" s="7" t="n">
        <v>-24.3</v>
      </c>
      <c r="I9" s="7" t="n">
        <v>1.2</v>
      </c>
      <c r="J9" s="7" t="n">
        <v>-2.1</v>
      </c>
      <c r="K9" s="7" t="n">
        <v>-3.3</v>
      </c>
      <c r="L9" s="7" t="n">
        <v>-1.68</v>
      </c>
      <c r="M9" s="9" t="n">
        <v>-1.4</v>
      </c>
      <c r="N9" s="7" t="n">
        <v>19.9</v>
      </c>
      <c r="O9" s="7" t="n">
        <v>17.33</v>
      </c>
      <c r="P9" s="7" t="n">
        <v>21.54</v>
      </c>
      <c r="Q9" s="7" t="n">
        <v>2784.27</v>
      </c>
      <c r="R9" s="7" t="n">
        <v>-2.66</v>
      </c>
      <c r="S9" s="7" t="n">
        <v>-7.07</v>
      </c>
      <c r="T9" s="7" t="n">
        <v>-21.31</v>
      </c>
      <c r="U9" s="7" t="n">
        <v>-26.32</v>
      </c>
      <c r="V9" s="7" t="n">
        <v>59.8</v>
      </c>
      <c r="W9" s="7" t="n">
        <v>33.19</v>
      </c>
      <c r="X9" s="7" t="n">
        <v>0.25</v>
      </c>
      <c r="Y9" s="7" t="n">
        <v>66.73999999999999</v>
      </c>
      <c r="Z9" s="7" t="n">
        <v>1.25</v>
      </c>
      <c r="AA9" s="7" t="n">
        <v>-8.34</v>
      </c>
      <c r="AB9" s="9" t="n">
        <v>0.51</v>
      </c>
      <c r="AC9" s="7" t="n">
        <v/>
      </c>
      <c r="AD9" s="7" t="n">
        <v>4.93</v>
      </c>
      <c r="AE9" s="7" t="n">
        <v>59.2</v>
      </c>
    </row>
    <row r="10">
      <c r="A10" s="2" t="n">
        <v>46078.59033564815</v>
      </c>
      <c r="B10" s="3" t="n">
        <v>85.86</v>
      </c>
      <c r="C10" s="3" t="n">
        <v>112.57</v>
      </c>
      <c r="D10" s="4" t="n">
        <v>1.31</v>
      </c>
      <c r="E10" s="3" t="n">
        <v>171.4</v>
      </c>
      <c r="F10" s="3" t="n">
        <v>194.06</v>
      </c>
      <c r="G10" s="3" t="n">
        <v>2.93</v>
      </c>
      <c r="H10" s="3" t="n">
        <v>-21.32</v>
      </c>
      <c r="I10" s="3" t="n">
        <v>1</v>
      </c>
      <c r="J10" s="3" t="n">
        <v>-2.9</v>
      </c>
      <c r="K10" s="3" t="n">
        <v>-3.9</v>
      </c>
      <c r="L10" s="3" t="n">
        <v>-2.34</v>
      </c>
      <c r="M10" s="5" t="n">
        <v>-1.8</v>
      </c>
      <c r="N10" s="3" t="n">
        <v>19.47</v>
      </c>
      <c r="O10" s="3" t="n">
        <v>16.59</v>
      </c>
      <c r="P10" s="3" t="n">
        <v>21.75</v>
      </c>
      <c r="Q10" s="3" t="n">
        <v>3274.66</v>
      </c>
      <c r="R10" s="3" t="n">
        <v>-4.26</v>
      </c>
      <c r="S10" s="3" t="n">
        <v>-13.85</v>
      </c>
      <c r="T10" s="3" t="n">
        <v>-34.82</v>
      </c>
      <c r="U10" s="3" t="n">
        <v>-41.61</v>
      </c>
      <c r="V10" s="3" t="n">
        <v>66.90000000000001</v>
      </c>
      <c r="W10" s="3" t="n">
        <v>35.67</v>
      </c>
      <c r="X10" s="3" t="n">
        <v>-0.32</v>
      </c>
      <c r="Y10" s="3" t="n">
        <v>62.92</v>
      </c>
      <c r="Z10" s="3" t="n">
        <v>1.24</v>
      </c>
      <c r="AA10" s="3" t="n">
        <v>-9.880000000000001</v>
      </c>
      <c r="AB10" s="5" t="n">
        <v>1.1</v>
      </c>
      <c r="AC10" s="3" t="n">
        <v/>
      </c>
      <c r="AD10" s="3" t="n">
        <v>5.28</v>
      </c>
      <c r="AE10" s="3" t="n">
        <v>59.83</v>
      </c>
    </row>
    <row r="11">
      <c r="A11" s="6" t="n">
        <v>46078.59082175926</v>
      </c>
      <c r="B11" s="7" t="n">
        <v>87.2</v>
      </c>
      <c r="C11" s="7" t="n">
        <v>123.02</v>
      </c>
      <c r="D11" s="8" t="n">
        <v>1.41</v>
      </c>
      <c r="E11" s="7" t="n">
        <v>188.48</v>
      </c>
      <c r="F11" s="7" t="n">
        <v>204.01</v>
      </c>
      <c r="G11" s="7" t="n">
        <v>1.21</v>
      </c>
      <c r="H11" s="7" t="n">
        <v>-14.7</v>
      </c>
      <c r="I11" s="7" t="n">
        <v>0.6</v>
      </c>
      <c r="J11" s="7" t="n">
        <v>-2.71</v>
      </c>
      <c r="K11" s="7" t="n">
        <v>-3.31</v>
      </c>
      <c r="L11" s="7" t="n">
        <v>-2.16</v>
      </c>
      <c r="M11" s="9" t="n">
        <v>-2.8</v>
      </c>
      <c r="N11" s="7" t="n">
        <v>17.86</v>
      </c>
      <c r="O11" s="7" t="n">
        <v>14.5</v>
      </c>
      <c r="P11" s="7" t="n">
        <v>21.05</v>
      </c>
      <c r="Q11" s="7" t="n">
        <v>4153.69</v>
      </c>
      <c r="R11" s="7" t="n">
        <v>-3.16</v>
      </c>
      <c r="S11" s="7" t="n">
        <v>-13.82</v>
      </c>
      <c r="T11" s="7" t="n">
        <v>-35.09</v>
      </c>
      <c r="U11" s="7" t="n">
        <v>-39.52</v>
      </c>
      <c r="V11" s="7" t="n">
        <v>77.95999999999999</v>
      </c>
      <c r="W11" s="7" t="n">
        <v>39.11</v>
      </c>
      <c r="X11" s="7" t="n">
        <v>-1.76</v>
      </c>
      <c r="Y11" s="7" t="n">
        <v>55.7</v>
      </c>
      <c r="Z11" s="7" t="n">
        <v>1.28</v>
      </c>
      <c r="AA11" s="7" t="n">
        <v>-8.699999999999999</v>
      </c>
      <c r="AB11" s="9" t="n">
        <v>2.44</v>
      </c>
      <c r="AC11" s="7" t="n">
        <v/>
      </c>
      <c r="AD11" s="7" t="n">
        <v>5.83</v>
      </c>
      <c r="AE11" s="7" t="n">
        <v>61.31</v>
      </c>
    </row>
    <row r="12">
      <c r="A12" s="2" t="n">
        <v>46078.59167824074</v>
      </c>
      <c r="B12" s="3" t="n">
        <v>87.08</v>
      </c>
      <c r="C12" s="3" t="n">
        <v>117.91</v>
      </c>
      <c r="D12" s="4" t="n">
        <v>1.35</v>
      </c>
      <c r="E12" s="3" t="n">
        <v>184.16</v>
      </c>
      <c r="F12" s="3" t="n">
        <v>207.1</v>
      </c>
      <c r="G12" s="3" t="n">
        <v>0.52</v>
      </c>
      <c r="H12" s="3" t="n">
        <v>-12.99</v>
      </c>
      <c r="I12" s="3" t="n">
        <v>1.8</v>
      </c>
      <c r="J12" s="3" t="n">
        <v>-1.18</v>
      </c>
      <c r="K12" s="3" t="n">
        <v>-2.98</v>
      </c>
      <c r="L12" s="3" t="n">
        <v>-0.76</v>
      </c>
      <c r="M12" s="5" t="n">
        <v>-1</v>
      </c>
      <c r="N12" s="3" t="n">
        <v>18.78</v>
      </c>
      <c r="O12" s="3" t="n">
        <v>16.16</v>
      </c>
      <c r="P12" s="3" t="n">
        <v>20</v>
      </c>
      <c r="Q12" s="3" t="n">
        <v>3097.25</v>
      </c>
      <c r="R12" s="3" t="n">
        <v>-3.17</v>
      </c>
      <c r="S12" s="3" t="n">
        <v>-11.28</v>
      </c>
      <c r="T12" s="3" t="n">
        <v>-18.58</v>
      </c>
      <c r="U12" s="3" t="n">
        <v>-22.55</v>
      </c>
      <c r="V12" s="3" t="n">
        <v>71.22</v>
      </c>
      <c r="W12" s="3" t="n">
        <v>35.83</v>
      </c>
      <c r="X12" s="3" t="n">
        <v>0.92</v>
      </c>
      <c r="Y12" s="3" t="n">
        <v>59.74</v>
      </c>
      <c r="Z12" s="3" t="n">
        <v>1.3</v>
      </c>
      <c r="AA12" s="3" t="n">
        <v>-8.289999999999999</v>
      </c>
      <c r="AB12" s="5" t="n">
        <v>0.28</v>
      </c>
      <c r="AC12" s="3" t="n">
        <v/>
      </c>
      <c r="AD12" s="3" t="n">
        <v>5.49</v>
      </c>
      <c r="AE12" s="3" t="n">
        <v>59.67</v>
      </c>
    </row>
    <row r="13">
      <c r="A13" s="6" t="n">
        <v>46078.59136574074</v>
      </c>
      <c r="B13" s="7" t="n">
        <v>88.06</v>
      </c>
      <c r="C13" s="7" t="n">
        <v>121.53</v>
      </c>
      <c r="D13" s="8" t="n">
        <v>1.38</v>
      </c>
      <c r="E13" s="7" t="n">
        <v>187.58</v>
      </c>
      <c r="F13" s="7" t="n">
        <v>199.79</v>
      </c>
      <c r="G13" s="7" t="n">
        <v>0.23</v>
      </c>
      <c r="H13" s="7" t="n">
        <v>-19.48</v>
      </c>
      <c r="I13" s="7" t="n">
        <v>1</v>
      </c>
      <c r="J13" s="7" t="n">
        <v>-0.6</v>
      </c>
      <c r="K13" s="7" t="n">
        <v>-1.6</v>
      </c>
      <c r="L13" s="7" t="n">
        <v>-0.34</v>
      </c>
      <c r="M13" s="9" t="n">
        <v>-2.8</v>
      </c>
      <c r="N13" s="7" t="n">
        <v>19.94</v>
      </c>
      <c r="O13" s="7" t="n">
        <v>16.54</v>
      </c>
      <c r="P13" s="7" t="n">
        <v>22.82</v>
      </c>
      <c r="Q13" s="7" t="n">
        <v>4115.16</v>
      </c>
      <c r="R13" s="7" t="n">
        <v>1.63</v>
      </c>
      <c r="S13" s="7" t="n">
        <v>7.18</v>
      </c>
      <c r="T13" s="7" t="n">
        <v>3.89</v>
      </c>
      <c r="U13" s="7" t="n">
        <v>4.82</v>
      </c>
      <c r="V13" s="7" t="n">
        <v>86.98</v>
      </c>
      <c r="W13" s="7" t="n">
        <v>41.73</v>
      </c>
      <c r="X13" s="7" t="n">
        <v>-1.15</v>
      </c>
      <c r="Y13" s="7" t="n">
        <v>55.92</v>
      </c>
      <c r="Z13" s="7" t="n">
        <v>1.28</v>
      </c>
      <c r="AA13" s="7" t="n">
        <v>-4.09</v>
      </c>
      <c r="AB13" s="9" t="n">
        <v>2.32</v>
      </c>
      <c r="AC13" s="7" t="n">
        <v/>
      </c>
      <c r="AD13" s="7" t="n">
        <v>6.01</v>
      </c>
      <c r="AE13" s="7" t="n">
        <v>58.54</v>
      </c>
    </row>
    <row r="14">
      <c r="A14" s="2" t="n">
        <v>46078.59233796296</v>
      </c>
      <c r="B14" s="3" t="n">
        <v>88.94</v>
      </c>
      <c r="C14" s="3" t="n">
        <v>110.33</v>
      </c>
      <c r="D14" s="4" t="n">
        <v>1.24</v>
      </c>
      <c r="E14" s="3" t="n">
        <v>166.17</v>
      </c>
      <c r="F14" s="3" t="n">
        <v>197.42</v>
      </c>
      <c r="G14" s="3" t="n">
        <v>2.89</v>
      </c>
      <c r="H14" s="3" t="n">
        <v>-12.66</v>
      </c>
      <c r="I14" s="3" t="n">
        <v>1</v>
      </c>
      <c r="J14" s="3" t="n">
        <v>4.11</v>
      </c>
      <c r="K14" s="3" t="n">
        <v>3.11</v>
      </c>
      <c r="L14" s="3" t="n">
        <v>3.72</v>
      </c>
      <c r="M14" s="5" t="n">
        <v>-0.4</v>
      </c>
      <c r="N14" s="3" t="n">
        <v>19.02</v>
      </c>
      <c r="O14" s="3" t="n">
        <v>16.79</v>
      </c>
      <c r="P14" s="3" t="n">
        <v>19.7</v>
      </c>
      <c r="Q14" s="3" t="n">
        <v>2471.17</v>
      </c>
      <c r="R14" s="3" t="n">
        <v>10.72</v>
      </c>
      <c r="S14" s="3" t="n">
        <v>26.89</v>
      </c>
      <c r="T14" s="3" t="n">
        <v>59.13</v>
      </c>
      <c r="U14" s="3" t="n">
        <v>75.94</v>
      </c>
      <c r="V14" s="3" t="n">
        <v>56.98</v>
      </c>
      <c r="W14" s="3" t="n">
        <v>30.96</v>
      </c>
      <c r="X14" s="3" t="n">
        <v>0.39</v>
      </c>
      <c r="Y14" s="3" t="n">
        <v>63.8</v>
      </c>
      <c r="Z14" s="3" t="n">
        <v>1.25</v>
      </c>
      <c r="AA14" s="3" t="n">
        <v>9.029999999999999</v>
      </c>
      <c r="AB14" s="5" t="n">
        <v>-0.39</v>
      </c>
      <c r="AC14" s="3" t="n">
        <v/>
      </c>
      <c r="AD14" s="3" t="n">
        <v>4.81</v>
      </c>
      <c r="AE14" s="3" t="n">
        <v>57.67</v>
      </c>
    </row>
    <row r="16">
      <c r="A16" s="10" t="inlineStr">
        <is>
          <t>Pos Av</t>
        </is>
      </c>
      <c r="B16" s="11">
        <f>IF(COUNTIF(B2:B14,"&gt;0"),AVERAGEIF(B2:B14,"&gt;0"),"—")</f>
        <v/>
      </c>
      <c r="C16" s="11">
        <f>IF(COUNTIF(C2:C14,"&gt;0"),AVERAGEIF(C2:C14,"&gt;0"),"—")</f>
        <v/>
      </c>
      <c r="D16" s="12">
        <f>IF(COUNTIF(D2:D14,"&gt;0"),AVERAGEIF(D2:D14,"&gt;0"),"—")</f>
        <v/>
      </c>
      <c r="E16" s="11">
        <f>IF(COUNTIF(E2:E14,"&gt;0"),AVERAGEIF(E2:E14,"&gt;0"),"—")</f>
        <v/>
      </c>
      <c r="F16" s="11">
        <f>IF(COUNTIF(F2:F14,"&gt;0"),AVERAGEIF(F2:F14,"&gt;0"),"—")</f>
        <v/>
      </c>
      <c r="G16" s="11">
        <f>IF(COUNTIF(G2:G14,"&gt;0"),AVERAGEIF(G2:G14,"&gt;0"),"—")</f>
        <v/>
      </c>
      <c r="H16" s="11">
        <f>IF(COUNTIF(H2:H14,"&gt;0"),AVERAGEIF(H2:H14,"&gt;0"),"—")</f>
        <v/>
      </c>
      <c r="I16" s="11">
        <f>IF(COUNTIF(I2:I14,"&gt;0"),AVERAGEIF(I2:I14,"&gt;0"),"—")</f>
        <v/>
      </c>
      <c r="J16" s="11">
        <f>IF(COUNTIF(J2:J14,"&gt;0"),AVERAGEIF(J2:J14,"&gt;0"),"—")</f>
        <v/>
      </c>
      <c r="K16" s="11">
        <f>IF(COUNTIF(K2:K14,"&gt;0"),AVERAGEIF(K2:K14,"&gt;0"),"—")</f>
        <v/>
      </c>
      <c r="L16" s="11">
        <f>IF(COUNTIF(L2:L14,"&gt;0"),AVERAGEIF(L2:L14,"&gt;0"),"—")</f>
        <v/>
      </c>
      <c r="M16" s="13">
        <f>IF(COUNTIF(M2:M14,"&gt;0"),AVERAGEIF(M2:M14,"&gt;0"),"—")</f>
        <v/>
      </c>
      <c r="N16" s="11">
        <f>IF(COUNTIF(N2:N14,"&gt;0"),AVERAGEIF(N2:N14,"&gt;0"),"—")</f>
        <v/>
      </c>
      <c r="O16" s="11">
        <f>IF(COUNTIF(O2:O14,"&gt;0"),AVERAGEIF(O2:O14,"&gt;0"),"—")</f>
        <v/>
      </c>
      <c r="P16" s="11">
        <f>IF(COUNTIF(P2:P14,"&gt;0"),AVERAGEIF(P2:P14,"&gt;0"),"—")</f>
        <v/>
      </c>
      <c r="Q16" s="11">
        <f>IF(COUNTIF(Q2:Q14,"&gt;0"),AVERAGEIF(Q2:Q14,"&gt;0"),"—")</f>
        <v/>
      </c>
      <c r="R16" s="11">
        <f>IF(COUNTIF(R2:R14,"&gt;0"),AVERAGEIF(R2:R14,"&gt;0"),"—")</f>
        <v/>
      </c>
      <c r="S16" s="11">
        <f>IF(COUNTIF(S2:S14,"&gt;0"),AVERAGEIF(S2:S14,"&gt;0"),"—")</f>
        <v/>
      </c>
      <c r="T16" s="11">
        <f>IF(COUNTIF(T2:T14,"&gt;0"),AVERAGEIF(T2:T14,"&gt;0"),"—")</f>
        <v/>
      </c>
      <c r="U16" s="11">
        <f>IF(COUNTIF(U2:U14,"&gt;0"),AVERAGEIF(U2:U14,"&gt;0"),"—")</f>
        <v/>
      </c>
      <c r="V16" s="11">
        <f>IF(COUNTIF(V2:V14,"&gt;0"),AVERAGEIF(V2:V14,"&gt;0"),"—")</f>
        <v/>
      </c>
      <c r="W16" s="11">
        <f>IF(COUNTIF(W2:W14,"&gt;0"),AVERAGEIF(W2:W14,"&gt;0"),"—")</f>
        <v/>
      </c>
      <c r="X16" s="11">
        <f>IF(COUNTIF(X2:X14,"&gt;0"),AVERAGEIF(X2:X14,"&gt;0"),"—")</f>
        <v/>
      </c>
      <c r="Y16" s="11">
        <f>IF(COUNTIF(Y2:Y14,"&gt;0"),AVERAGEIF(Y2:Y14,"&gt;0"),"—")</f>
        <v/>
      </c>
      <c r="Z16" s="11">
        <f>IF(COUNTIF(Z2:Z14,"&gt;0"),AVERAGEIF(Z2:Z14,"&gt;0"),"—")</f>
        <v/>
      </c>
      <c r="AA16" s="11">
        <f>IF(COUNTIF(AA2:AA14,"&gt;0"),AVERAGEIF(AA2:AA14,"&gt;0"),"—")</f>
        <v/>
      </c>
      <c r="AB16" s="13">
        <f>IF(COUNTIF(AB2:AB14,"&gt;0"),AVERAGEIF(AB2:AB14,"&gt;0"),"—")</f>
        <v/>
      </c>
      <c r="AC16" s="11">
        <f>IF(COUNTIF(AC2:AC14,"&gt;0"),AVERAGEIF(AC2:AC14,"&gt;0"),"—")</f>
        <v/>
      </c>
      <c r="AD16" s="11">
        <f>IF(COUNTIF(AD2:AD14,"&gt;0"),AVERAGEIF(AD2:AD14,"&gt;0"),"—")</f>
        <v/>
      </c>
      <c r="AE16" s="11">
        <f>IF(COUNTIF(AE2:AE14,"&gt;0"),AVERAGEIF(AE2:AE14,"&gt;0"),"—")</f>
        <v/>
      </c>
    </row>
    <row r="17">
      <c r="A17" s="10" t="inlineStr">
        <is>
          <t>Neg Av</t>
        </is>
      </c>
      <c r="B17" s="11">
        <f>IF(COUNTIF(B2:B14,"&lt;0"),AVERAGEIF(B2:B14,"&lt;0"),"—")</f>
        <v/>
      </c>
      <c r="C17" s="11">
        <f>IF(COUNTIF(C2:C14,"&lt;0"),AVERAGEIF(C2:C14,"&lt;0"),"—")</f>
        <v/>
      </c>
      <c r="D17" s="12">
        <f>IF(COUNTIF(D2:D14,"&lt;0"),AVERAGEIF(D2:D14,"&lt;0"),"—")</f>
        <v/>
      </c>
      <c r="E17" s="11">
        <f>IF(COUNTIF(E2:E14,"&lt;0"),AVERAGEIF(E2:E14,"&lt;0"),"—")</f>
        <v/>
      </c>
      <c r="F17" s="11">
        <f>IF(COUNTIF(F2:F14,"&lt;0"),AVERAGEIF(F2:F14,"&lt;0"),"—")</f>
        <v/>
      </c>
      <c r="G17" s="11">
        <f>IF(COUNTIF(G2:G14,"&lt;0"),AVERAGEIF(G2:G14,"&lt;0"),"—")</f>
        <v/>
      </c>
      <c r="H17" s="11">
        <f>IF(COUNTIF(H2:H14,"&lt;0"),AVERAGEIF(H2:H14,"&lt;0"),"—")</f>
        <v/>
      </c>
      <c r="I17" s="11">
        <f>IF(COUNTIF(I2:I14,"&lt;0"),AVERAGEIF(I2:I14,"&lt;0"),"—")</f>
        <v/>
      </c>
      <c r="J17" s="11">
        <f>IF(COUNTIF(J2:J14,"&lt;0"),AVERAGEIF(J2:J14,"&lt;0"),"—")</f>
        <v/>
      </c>
      <c r="K17" s="11">
        <f>IF(COUNTIF(K2:K14,"&lt;0"),AVERAGEIF(K2:K14,"&lt;0"),"—")</f>
        <v/>
      </c>
      <c r="L17" s="11">
        <f>IF(COUNTIF(L2:L14,"&lt;0"),AVERAGEIF(L2:L14,"&lt;0"),"—")</f>
        <v/>
      </c>
      <c r="M17" s="13">
        <f>IF(COUNTIF(M2:M14,"&lt;0"),AVERAGEIF(M2:M14,"&lt;0"),"—")</f>
        <v/>
      </c>
      <c r="N17" s="11">
        <f>IF(COUNTIF(N2:N14,"&lt;0"),AVERAGEIF(N2:N14,"&lt;0"),"—")</f>
        <v/>
      </c>
      <c r="O17" s="11">
        <f>IF(COUNTIF(O2:O14,"&lt;0"),AVERAGEIF(O2:O14,"&lt;0"),"—")</f>
        <v/>
      </c>
      <c r="P17" s="11">
        <f>IF(COUNTIF(P2:P14,"&lt;0"),AVERAGEIF(P2:P14,"&lt;0"),"—")</f>
        <v/>
      </c>
      <c r="Q17" s="11">
        <f>IF(COUNTIF(Q2:Q14,"&lt;0"),AVERAGEIF(Q2:Q14,"&lt;0"),"—")</f>
        <v/>
      </c>
      <c r="R17" s="11">
        <f>IF(COUNTIF(R2:R14,"&lt;0"),AVERAGEIF(R2:R14,"&lt;0"),"—")</f>
        <v/>
      </c>
      <c r="S17" s="11">
        <f>IF(COUNTIF(S2:S14,"&lt;0"),AVERAGEIF(S2:S14,"&lt;0"),"—")</f>
        <v/>
      </c>
      <c r="T17" s="11">
        <f>IF(COUNTIF(T2:T14,"&lt;0"),AVERAGEIF(T2:T14,"&lt;0"),"—")</f>
        <v/>
      </c>
      <c r="U17" s="11">
        <f>IF(COUNTIF(U2:U14,"&lt;0"),AVERAGEIF(U2:U14,"&lt;0"),"—")</f>
        <v/>
      </c>
      <c r="V17" s="11">
        <f>IF(COUNTIF(V2:V14,"&lt;0"),AVERAGEIF(V2:V14,"&lt;0"),"—")</f>
        <v/>
      </c>
      <c r="W17" s="11">
        <f>IF(COUNTIF(W2:W14,"&lt;0"),AVERAGEIF(W2:W14,"&lt;0"),"—")</f>
        <v/>
      </c>
      <c r="X17" s="11">
        <f>IF(COUNTIF(X2:X14,"&lt;0"),AVERAGEIF(X2:X14,"&lt;0"),"—")</f>
        <v/>
      </c>
      <c r="Y17" s="11">
        <f>IF(COUNTIF(Y2:Y14,"&lt;0"),AVERAGEIF(Y2:Y14,"&lt;0"),"—")</f>
        <v/>
      </c>
      <c r="Z17" s="11">
        <f>IF(COUNTIF(Z2:Z14,"&lt;0"),AVERAGEIF(Z2:Z14,"&lt;0"),"—")</f>
        <v/>
      </c>
      <c r="AA17" s="11">
        <f>IF(COUNTIF(AA2:AA14,"&lt;0"),AVERAGEIF(AA2:AA14,"&lt;0"),"—")</f>
        <v/>
      </c>
      <c r="AB17" s="13">
        <f>IF(COUNTIF(AB2:AB14,"&lt;0"),AVERAGEIF(AB2:AB14,"&lt;0"),"—")</f>
        <v/>
      </c>
      <c r="AC17" s="11">
        <f>IF(COUNTIF(AC2:AC14,"&lt;0"),AVERAGEIF(AC2:AC14,"&lt;0"),"—")</f>
        <v/>
      </c>
      <c r="AD17" s="11">
        <f>IF(COUNTIF(AD2:AD14,"&lt;0"),AVERAGEIF(AD2:AD14,"&lt;0"),"—")</f>
        <v/>
      </c>
      <c r="AE17" s="11">
        <f>IF(COUNTIF(AE2:AE14,"&lt;0"),AVERAGEIF(AE2:AE14,"&lt;0"),"—")</f>
        <v/>
      </c>
    </row>
    <row r="18">
      <c r="A18" s="10" t="inlineStr">
        <is>
          <t>1 Av</t>
        </is>
      </c>
      <c r="B18" s="11">
        <f>IF(COUNTA(B2:B14),AVERAGE(B2:B14),"—")</f>
        <v/>
      </c>
      <c r="C18" s="11">
        <f>IF(COUNTA(C2:C14),AVERAGE(C2:C14),"—")</f>
        <v/>
      </c>
      <c r="D18" s="12">
        <f>IF(COUNTA(D2:D14),AVERAGE(D2:D14),"—")</f>
        <v/>
      </c>
      <c r="E18" s="11">
        <f>IF(COUNTA(E2:E14),AVERAGE(E2:E14),"—")</f>
        <v/>
      </c>
      <c r="F18" s="11">
        <f>IF(COUNTA(F2:F14),AVERAGE(F2:F14),"—")</f>
        <v/>
      </c>
      <c r="G18" s="11">
        <f>IF(COUNTA(G2:G14),AVERAGE(G2:G14),"—")</f>
        <v/>
      </c>
      <c r="H18" s="11">
        <f>IF(COUNTA(H2:H14),AVERAGE(H2:H14),"—")</f>
        <v/>
      </c>
      <c r="I18" s="11">
        <f>IF(COUNTA(I2:I14),AVERAGE(I2:I14),"—")</f>
        <v/>
      </c>
      <c r="J18" s="11">
        <f>IF(COUNTA(J2:J14),AVERAGE(J2:J14),"—")</f>
        <v/>
      </c>
      <c r="K18" s="11">
        <f>IF(COUNTA(K2:K14),AVERAGE(K2:K14),"—")</f>
        <v/>
      </c>
      <c r="L18" s="11">
        <f>IF(COUNTA(L2:L14),AVERAGE(L2:L14),"—")</f>
        <v/>
      </c>
      <c r="M18" s="13">
        <f>IF(COUNTA(M2:M14),AVERAGE(M2:M14),"—")</f>
        <v/>
      </c>
      <c r="N18" s="11">
        <f>IF(COUNTA(N2:N14),AVERAGE(N2:N14),"—")</f>
        <v/>
      </c>
      <c r="O18" s="11">
        <f>IF(COUNTA(O2:O14),AVERAGE(O2:O14),"—")</f>
        <v/>
      </c>
      <c r="P18" s="11">
        <f>IF(COUNTA(P2:P14),AVERAGE(P2:P14),"—")</f>
        <v/>
      </c>
      <c r="Q18" s="11">
        <f>IF(COUNTA(Q2:Q14),AVERAGE(Q2:Q14),"—")</f>
        <v/>
      </c>
      <c r="R18" s="11">
        <f>IF(COUNTA(R2:R14),AVERAGE(R2:R14),"—")</f>
        <v/>
      </c>
      <c r="S18" s="11">
        <f>IF(COUNTA(S2:S14),AVERAGE(S2:S14),"—")</f>
        <v/>
      </c>
      <c r="T18" s="11">
        <f>IF(COUNTA(T2:T14),AVERAGE(T2:T14),"—")</f>
        <v/>
      </c>
      <c r="U18" s="11">
        <f>IF(COUNTA(U2:U14),AVERAGE(U2:U14),"—")</f>
        <v/>
      </c>
      <c r="V18" s="11">
        <f>IF(COUNTA(V2:V14),AVERAGE(V2:V14),"—")</f>
        <v/>
      </c>
      <c r="W18" s="11">
        <f>IF(COUNTA(W2:W14),AVERAGE(W2:W14),"—")</f>
        <v/>
      </c>
      <c r="X18" s="11">
        <f>IF(COUNTA(X2:X14),AVERAGE(X2:X14),"—")</f>
        <v/>
      </c>
      <c r="Y18" s="11">
        <f>IF(COUNTA(Y2:Y14),AVERAGE(Y2:Y14),"—")</f>
        <v/>
      </c>
      <c r="Z18" s="11">
        <f>IF(COUNTA(Z2:Z14),AVERAGE(Z2:Z14),"—")</f>
        <v/>
      </c>
      <c r="AA18" s="11">
        <f>IF(COUNTA(AA2:AA14),AVERAGE(AA2:AA14),"—")</f>
        <v/>
      </c>
      <c r="AB18" s="13">
        <f>IF(COUNTA(AB2:AB14),AVERAGE(AB2:AB14),"—")</f>
        <v/>
      </c>
      <c r="AC18" s="11">
        <f>IF(COUNTA(AC2:AC14),AVERAGE(AC2:AC14),"—")</f>
        <v/>
      </c>
      <c r="AD18" s="11">
        <f>IF(COUNTA(AD2:AD14),AVERAGE(AD2:AD14),"—")</f>
        <v/>
      </c>
      <c r="AE18" s="11">
        <f>IF(COUNTA(AE2:AE14),AVERAGE(AE2:AE14),"—")</f>
        <v/>
      </c>
    </row>
    <row r="19">
      <c r="A19" s="10" t="inlineStr">
        <is>
          <t>Spread</t>
        </is>
      </c>
      <c r="B19" s="11">
        <f>IF(AND(ISNUMBER(B16),ISNUMBER(B17)),B16-B17,"—")</f>
        <v/>
      </c>
      <c r="C19" s="11">
        <f>IF(AND(ISNUMBER(C16),ISNUMBER(C17)),C16-C17,"—")</f>
        <v/>
      </c>
      <c r="D19" s="12">
        <f>IF(AND(ISNUMBER(D16),ISNUMBER(D17)),D16-D17,"—")</f>
        <v/>
      </c>
      <c r="E19" s="11">
        <f>IF(AND(ISNUMBER(E16),ISNUMBER(E17)),E16-E17,"—")</f>
        <v/>
      </c>
      <c r="F19" s="11">
        <f>IF(AND(ISNUMBER(F16),ISNUMBER(F17)),F16-F17,"—")</f>
        <v/>
      </c>
      <c r="G19" s="11">
        <f>IF(AND(ISNUMBER(G16),ISNUMBER(G17)),G16-G17,"—")</f>
        <v/>
      </c>
      <c r="H19" s="11">
        <f>IF(AND(ISNUMBER(H16),ISNUMBER(H17)),H16-H17,"—")</f>
        <v/>
      </c>
      <c r="I19" s="11">
        <f>IF(AND(ISNUMBER(I16),ISNUMBER(I17)),I16-I17,"—")</f>
        <v/>
      </c>
      <c r="J19" s="11">
        <f>IF(AND(ISNUMBER(J16),ISNUMBER(J17)),J16-J17,"—")</f>
        <v/>
      </c>
      <c r="K19" s="11">
        <f>IF(AND(ISNUMBER(K16),ISNUMBER(K17)),K16-K17,"—")</f>
        <v/>
      </c>
      <c r="L19" s="11">
        <f>IF(AND(ISNUMBER(L16),ISNUMBER(L17)),L16-L17,"—")</f>
        <v/>
      </c>
      <c r="M19" s="13">
        <f>IF(AND(ISNUMBER(M16),ISNUMBER(M17)),M16-M17,"—")</f>
        <v/>
      </c>
      <c r="N19" s="11">
        <f>IF(AND(ISNUMBER(N16),ISNUMBER(N17)),N16-N17,"—")</f>
        <v/>
      </c>
      <c r="O19" s="11">
        <f>IF(AND(ISNUMBER(O16),ISNUMBER(O17)),O16-O17,"—")</f>
        <v/>
      </c>
      <c r="P19" s="11">
        <f>IF(AND(ISNUMBER(P16),ISNUMBER(P17)),P16-P17,"—")</f>
        <v/>
      </c>
      <c r="Q19" s="11">
        <f>IF(AND(ISNUMBER(Q16),ISNUMBER(Q17)),Q16-Q17,"—")</f>
        <v/>
      </c>
      <c r="R19" s="11">
        <f>IF(AND(ISNUMBER(R16),ISNUMBER(R17)),R16-R17,"—")</f>
        <v/>
      </c>
      <c r="S19" s="11">
        <f>IF(AND(ISNUMBER(S16),ISNUMBER(S17)),S16-S17,"—")</f>
        <v/>
      </c>
      <c r="T19" s="11">
        <f>IF(AND(ISNUMBER(T16),ISNUMBER(T17)),T16-T17,"—")</f>
        <v/>
      </c>
      <c r="U19" s="11">
        <f>IF(AND(ISNUMBER(U16),ISNUMBER(U17)),U16-U17,"—")</f>
        <v/>
      </c>
      <c r="V19" s="11">
        <f>IF(AND(ISNUMBER(V16),ISNUMBER(V17)),V16-V17,"—")</f>
        <v/>
      </c>
      <c r="W19" s="11">
        <f>IF(AND(ISNUMBER(W16),ISNUMBER(W17)),W16-W17,"—")</f>
        <v/>
      </c>
      <c r="X19" s="11">
        <f>IF(AND(ISNUMBER(X16),ISNUMBER(X17)),X16-X17,"—")</f>
        <v/>
      </c>
      <c r="Y19" s="11">
        <f>IF(AND(ISNUMBER(Y16),ISNUMBER(Y17)),Y16-Y17,"—")</f>
        <v/>
      </c>
      <c r="Z19" s="11">
        <f>IF(AND(ISNUMBER(Z16),ISNUMBER(Z17)),Z16-Z17,"—")</f>
        <v/>
      </c>
      <c r="AA19" s="11">
        <f>IF(AND(ISNUMBER(AA16),ISNUMBER(AA17)),AA16-AA17,"—")</f>
        <v/>
      </c>
      <c r="AB19" s="13">
        <f>IF(AND(ISNUMBER(AB16),ISNUMBER(AB17)),AB16-AB17,"—")</f>
        <v/>
      </c>
      <c r="AC19" s="11">
        <f>IF(AND(ISNUMBER(AC16),ISNUMBER(AC17)),AC16-AC17,"—")</f>
        <v/>
      </c>
      <c r="AD19" s="11">
        <f>IF(AND(ISNUMBER(AD16),ISNUMBER(AD17)),AD16-AD17,"—")</f>
        <v/>
      </c>
      <c r="AE19" s="11">
        <f>IF(AND(ISNUMBER(AE16),ISNUMBER(AE17)),AE16-AE17,"—")</f>
        <v/>
      </c>
    </row>
    <row r="20">
      <c r="A20" s="10" t="inlineStr">
        <is>
          <t>% Pos</t>
        </is>
      </c>
      <c r="B20" s="14">
        <f>IF(COUNTA(B2:B14),COUNTIF(B2:B14,"&gt;0")/COUNTA(B2:B14),"—")</f>
        <v/>
      </c>
      <c r="C20" s="14">
        <f>IF(COUNTA(C2:C14),COUNTIF(C2:C14,"&gt;0")/COUNTA(C2:C14),"—")</f>
        <v/>
      </c>
      <c r="D20" s="14">
        <f>IF(COUNTA(D2:D14),COUNTIF(D2:D14,"&gt;0")/COUNTA(D2:D14),"—")</f>
        <v/>
      </c>
      <c r="E20" s="14">
        <f>IF(COUNTA(E2:E14),COUNTIF(E2:E14,"&gt;0")/COUNTA(E2:E14),"—")</f>
        <v/>
      </c>
      <c r="F20" s="14">
        <f>IF(COUNTA(F2:F14),COUNTIF(F2:F14,"&gt;0")/COUNTA(F2:F14),"—")</f>
        <v/>
      </c>
      <c r="G20" s="14">
        <f>IF(COUNTA(G2:G14),COUNTIF(G2:G14,"&gt;0")/COUNTA(G2:G14),"—")</f>
        <v/>
      </c>
      <c r="H20" s="14">
        <f>IF(COUNTA(H2:H14),COUNTIF(H2:H14,"&gt;0")/COUNTA(H2:H14),"—")</f>
        <v/>
      </c>
      <c r="I20" s="14">
        <f>IF(COUNTA(I2:I14),COUNTIF(I2:I14,"&gt;0")/COUNTA(I2:I14),"—")</f>
        <v/>
      </c>
      <c r="J20" s="14">
        <f>IF(COUNTA(J2:J14),COUNTIF(J2:J14,"&gt;0")/COUNTA(J2:J14),"—")</f>
        <v/>
      </c>
      <c r="K20" s="14">
        <f>IF(COUNTA(K2:K14),COUNTIF(K2:K14,"&gt;0")/COUNTA(K2:K14),"—")</f>
        <v/>
      </c>
      <c r="L20" s="14">
        <f>IF(COUNTA(L2:L14),COUNTIF(L2:L14,"&gt;0")/COUNTA(L2:L14),"—")</f>
        <v/>
      </c>
      <c r="M20" s="14">
        <f>IF(COUNTA(M2:M14),COUNTIF(M2:M14,"&gt;0")/COUNTA(M2:M14),"—")</f>
        <v/>
      </c>
      <c r="N20" s="14">
        <f>IF(COUNTA(N2:N14),COUNTIF(N2:N14,"&gt;0")/COUNTA(N2:N14),"—")</f>
        <v/>
      </c>
      <c r="O20" s="14">
        <f>IF(COUNTA(O2:O14),COUNTIF(O2:O14,"&gt;0")/COUNTA(O2:O14),"—")</f>
        <v/>
      </c>
      <c r="P20" s="14">
        <f>IF(COUNTA(P2:P14),COUNTIF(P2:P14,"&gt;0")/COUNTA(P2:P14),"—")</f>
        <v/>
      </c>
      <c r="Q20" s="14">
        <f>IF(COUNTA(Q2:Q14),COUNTIF(Q2:Q14,"&gt;0")/COUNTA(Q2:Q14),"—")</f>
        <v/>
      </c>
      <c r="R20" s="14">
        <f>IF(COUNTA(R2:R14),COUNTIF(R2:R14,"&gt;0")/COUNTA(R2:R14),"—")</f>
        <v/>
      </c>
      <c r="S20" s="14">
        <f>IF(COUNTA(S2:S14),COUNTIF(S2:S14,"&gt;0")/COUNTA(S2:S14),"—")</f>
        <v/>
      </c>
      <c r="T20" s="14">
        <f>IF(COUNTA(T2:T14),COUNTIF(T2:T14,"&gt;0")/COUNTA(T2:T14),"—")</f>
        <v/>
      </c>
      <c r="U20" s="14">
        <f>IF(COUNTA(U2:U14),COUNTIF(U2:U14,"&gt;0")/COUNTA(U2:U14),"—")</f>
        <v/>
      </c>
      <c r="V20" s="14">
        <f>IF(COUNTA(V2:V14),COUNTIF(V2:V14,"&gt;0")/COUNTA(V2:V14),"—")</f>
        <v/>
      </c>
      <c r="W20" s="14">
        <f>IF(COUNTA(W2:W14),COUNTIF(W2:W14,"&gt;0")/COUNTA(W2:W14),"—")</f>
        <v/>
      </c>
      <c r="X20" s="14">
        <f>IF(COUNTA(X2:X14),COUNTIF(X2:X14,"&gt;0")/COUNTA(X2:X14),"—")</f>
        <v/>
      </c>
      <c r="Y20" s="14">
        <f>IF(COUNTA(Y2:Y14),COUNTIF(Y2:Y14,"&gt;0")/COUNTA(Y2:Y14),"—")</f>
        <v/>
      </c>
      <c r="Z20" s="14">
        <f>IF(COUNTA(Z2:Z14),COUNTIF(Z2:Z14,"&gt;0")/COUNTA(Z2:Z14),"—")</f>
        <v/>
      </c>
      <c r="AA20" s="14">
        <f>IF(COUNTA(AA2:AA14),COUNTIF(AA2:AA14,"&gt;0")/COUNTA(AA2:AA14),"—")</f>
        <v/>
      </c>
      <c r="AB20" s="14">
        <f>IF(COUNTA(AB2:AB14),COUNTIF(AB2:AB14,"&gt;0")/COUNTA(AB2:AB14),"—")</f>
        <v/>
      </c>
      <c r="AC20" s="14">
        <f>IF(COUNTA(AC2:AC14),COUNTIF(AC2:AC14,"&gt;0")/COUNTA(AC2:AC14),"—")</f>
        <v/>
      </c>
      <c r="AD20" s="14">
        <f>IF(COUNTA(AD2:AD14),COUNTIF(AD2:AD14,"&gt;0")/COUNTA(AD2:AD14),"—")</f>
        <v/>
      </c>
      <c r="AE20" s="14">
        <f>IF(COUNTA(AE2:AE14),COUNTIF(AE2:AE14,"&gt;0")/COUNTA(AE2:AE14),"—")</f>
        <v/>
      </c>
    </row>
    <row r="21">
      <c r="A21" s="10" t="inlineStr">
        <is>
          <t>% Neg</t>
        </is>
      </c>
      <c r="B21" s="14">
        <f>IF(COUNTA(B2:B14),COUNTIF(B2:B14,"&lt;0")/COUNTA(B2:B14),"—")</f>
        <v/>
      </c>
      <c r="C21" s="14">
        <f>IF(COUNTA(C2:C14),COUNTIF(C2:C14,"&lt;0")/COUNTA(C2:C14),"—")</f>
        <v/>
      </c>
      <c r="D21" s="14">
        <f>IF(COUNTA(D2:D14),COUNTIF(D2:D14,"&lt;0")/COUNTA(D2:D14),"—")</f>
        <v/>
      </c>
      <c r="E21" s="14">
        <f>IF(COUNTA(E2:E14),COUNTIF(E2:E14,"&lt;0")/COUNTA(E2:E14),"—")</f>
        <v/>
      </c>
      <c r="F21" s="14">
        <f>IF(COUNTA(F2:F14),COUNTIF(F2:F14,"&lt;0")/COUNTA(F2:F14),"—")</f>
        <v/>
      </c>
      <c r="G21" s="14">
        <f>IF(COUNTA(G2:G14),COUNTIF(G2:G14,"&lt;0")/COUNTA(G2:G14),"—")</f>
        <v/>
      </c>
      <c r="H21" s="14">
        <f>IF(COUNTA(H2:H14),COUNTIF(H2:H14,"&lt;0")/COUNTA(H2:H14),"—")</f>
        <v/>
      </c>
      <c r="I21" s="14">
        <f>IF(COUNTA(I2:I14),COUNTIF(I2:I14,"&lt;0")/COUNTA(I2:I14),"—")</f>
        <v/>
      </c>
      <c r="J21" s="14">
        <f>IF(COUNTA(J2:J14),COUNTIF(J2:J14,"&lt;0")/COUNTA(J2:J14),"—")</f>
        <v/>
      </c>
      <c r="K21" s="14">
        <f>IF(COUNTA(K2:K14),COUNTIF(K2:K14,"&lt;0")/COUNTA(K2:K14),"—")</f>
        <v/>
      </c>
      <c r="L21" s="14">
        <f>IF(COUNTA(L2:L14),COUNTIF(L2:L14,"&lt;0")/COUNTA(L2:L14),"—")</f>
        <v/>
      </c>
      <c r="M21" s="14">
        <f>IF(COUNTA(M2:M14),COUNTIF(M2:M14,"&lt;0")/COUNTA(M2:M14),"—")</f>
        <v/>
      </c>
      <c r="N21" s="14">
        <f>IF(COUNTA(N2:N14),COUNTIF(N2:N14,"&lt;0")/COUNTA(N2:N14),"—")</f>
        <v/>
      </c>
      <c r="O21" s="14">
        <f>IF(COUNTA(O2:O14),COUNTIF(O2:O14,"&lt;0")/COUNTA(O2:O14),"—")</f>
        <v/>
      </c>
      <c r="P21" s="14">
        <f>IF(COUNTA(P2:P14),COUNTIF(P2:P14,"&lt;0")/COUNTA(P2:P14),"—")</f>
        <v/>
      </c>
      <c r="Q21" s="14">
        <f>IF(COUNTA(Q2:Q14),COUNTIF(Q2:Q14,"&lt;0")/COUNTA(Q2:Q14),"—")</f>
        <v/>
      </c>
      <c r="R21" s="14">
        <f>IF(COUNTA(R2:R14),COUNTIF(R2:R14,"&lt;0")/COUNTA(R2:R14),"—")</f>
        <v/>
      </c>
      <c r="S21" s="14">
        <f>IF(COUNTA(S2:S14),COUNTIF(S2:S14,"&lt;0")/COUNTA(S2:S14),"—")</f>
        <v/>
      </c>
      <c r="T21" s="14">
        <f>IF(COUNTA(T2:T14),COUNTIF(T2:T14,"&lt;0")/COUNTA(T2:T14),"—")</f>
        <v/>
      </c>
      <c r="U21" s="14">
        <f>IF(COUNTA(U2:U14),COUNTIF(U2:U14,"&lt;0")/COUNTA(U2:U14),"—")</f>
        <v/>
      </c>
      <c r="V21" s="14">
        <f>IF(COUNTA(V2:V14),COUNTIF(V2:V14,"&lt;0")/COUNTA(V2:V14),"—")</f>
        <v/>
      </c>
      <c r="W21" s="14">
        <f>IF(COUNTA(W2:W14),COUNTIF(W2:W14,"&lt;0")/COUNTA(W2:W14),"—")</f>
        <v/>
      </c>
      <c r="X21" s="14">
        <f>IF(COUNTA(X2:X14),COUNTIF(X2:X14,"&lt;0")/COUNTA(X2:X14),"—")</f>
        <v/>
      </c>
      <c r="Y21" s="14">
        <f>IF(COUNTA(Y2:Y14),COUNTIF(Y2:Y14,"&lt;0")/COUNTA(Y2:Y14),"—")</f>
        <v/>
      </c>
      <c r="Z21" s="14">
        <f>IF(COUNTA(Z2:Z14),COUNTIF(Z2:Z14,"&lt;0")/COUNTA(Z2:Z14),"—")</f>
        <v/>
      </c>
      <c r="AA21" s="14">
        <f>IF(COUNTA(AA2:AA14),COUNTIF(AA2:AA14,"&lt;0")/COUNTA(AA2:AA14),"—")</f>
        <v/>
      </c>
      <c r="AB21" s="14">
        <f>IF(COUNTA(AB2:AB14),COUNTIF(AB2:AB14,"&lt;0")/COUNTA(AB2:AB14),"—")</f>
        <v/>
      </c>
      <c r="AC21" s="14">
        <f>IF(COUNTA(AC2:AC14),COUNTIF(AC2:AC14,"&lt;0")/COUNTA(AC2:AC14),"—")</f>
        <v/>
      </c>
      <c r="AD21" s="14">
        <f>IF(COUNTA(AD2:AD14),COUNTIF(AD2:AD14,"&lt;0")/COUNTA(AD2:AD14),"—")</f>
        <v/>
      </c>
      <c r="AE21" s="14">
        <f>IF(COUNTA(AE2:AE14),COUNTIF(AE2:AE14,"&lt;0")/COUNTA(AE2:AE14),"—")</f>
        <v/>
      </c>
    </row>
  </sheetData>
  <autoFilter ref="A1:A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46078.5824537037</v>
      </c>
      <c r="B2" s="3" t="n">
        <v>89.09999999999999</v>
      </c>
      <c r="C2" s="3" t="n">
        <v>120.91</v>
      </c>
      <c r="D2" s="4" t="n">
        <v>1.36</v>
      </c>
      <c r="E2" s="3" t="n">
        <v>191.71</v>
      </c>
      <c r="F2" s="3" t="n">
        <v>224.78</v>
      </c>
      <c r="G2" s="3" t="n">
        <v>12.35</v>
      </c>
      <c r="H2" s="3" t="n">
        <v>31.09</v>
      </c>
      <c r="I2" s="3" t="n">
        <v>4</v>
      </c>
      <c r="J2" s="3" t="n">
        <v>7.54</v>
      </c>
      <c r="K2" s="3" t="n">
        <v>3.54</v>
      </c>
      <c r="L2" s="3" t="n">
        <v>7.2</v>
      </c>
      <c r="M2" s="5" t="n">
        <v>2.2</v>
      </c>
      <c r="N2" s="3" t="n">
        <v>18.78</v>
      </c>
      <c r="O2" s="3" t="n">
        <v>17.23</v>
      </c>
      <c r="P2" s="3" t="n">
        <v>16.87</v>
      </c>
      <c r="Q2" s="3" t="n">
        <v>1902</v>
      </c>
      <c r="R2" s="3" t="n">
        <v>-11.3</v>
      </c>
      <c r="S2" s="3" t="n">
        <v>-29.65</v>
      </c>
      <c r="T2" s="3" t="n">
        <v>42.54</v>
      </c>
      <c r="U2" s="3" t="n">
        <v>44.39</v>
      </c>
      <c r="V2" s="3" t="n">
        <v>66.54000000000001</v>
      </c>
      <c r="W2" s="3" t="n">
        <v>31.18</v>
      </c>
      <c r="X2" s="3" t="n">
        <v>5.46</v>
      </c>
      <c r="Y2" s="3" t="n">
        <v>50.79</v>
      </c>
      <c r="Z2" s="3" t="n">
        <v>1.32</v>
      </c>
      <c r="AA2" s="3" t="n">
        <v>11.3</v>
      </c>
      <c r="AB2" s="5" t="n">
        <v>-3.82</v>
      </c>
      <c r="AC2" s="3" t="n">
        <v/>
      </c>
      <c r="AD2" s="3" t="n">
        <v>5.09</v>
      </c>
      <c r="AE2" s="3" t="n">
        <v>55.56</v>
      </c>
    </row>
    <row r="3">
      <c r="A3" s="6" t="n">
        <v>46078.58328703704</v>
      </c>
      <c r="B3" s="7" t="n">
        <v>90.69</v>
      </c>
      <c r="C3" s="7" t="n">
        <v>131.88</v>
      </c>
      <c r="D3" s="8" t="n">
        <v>1.45</v>
      </c>
      <c r="E3" s="7" t="n">
        <v>212.68</v>
      </c>
      <c r="F3" s="7" t="n">
        <v>246.08</v>
      </c>
      <c r="G3" s="7" t="n">
        <v>5.4</v>
      </c>
      <c r="H3" s="7" t="n">
        <v>5.01</v>
      </c>
      <c r="I3" s="7" t="n">
        <v>2.6</v>
      </c>
      <c r="J3" s="7" t="n">
        <v>1.53</v>
      </c>
      <c r="K3" s="7" t="n">
        <v>-1.06</v>
      </c>
      <c r="L3" s="7" t="n">
        <v>1.67</v>
      </c>
      <c r="M3" s="9" t="n">
        <v>2.6</v>
      </c>
      <c r="N3" s="7" t="n">
        <v>16.14</v>
      </c>
      <c r="O3" s="7" t="n">
        <v>14.56</v>
      </c>
      <c r="P3" s="7" t="n">
        <v>13.52</v>
      </c>
      <c r="Q3" s="7" t="n">
        <v>2081</v>
      </c>
      <c r="R3" s="7" t="n">
        <v>-7.16</v>
      </c>
      <c r="S3" s="7" t="n">
        <v>-23.46</v>
      </c>
      <c r="T3" s="7" t="n">
        <v>-4.9</v>
      </c>
      <c r="U3" s="7" t="n">
        <v>-9.77</v>
      </c>
      <c r="V3" s="7" t="n">
        <v>67.31999999999999</v>
      </c>
      <c r="W3" s="7" t="n">
        <v>30.22</v>
      </c>
      <c r="X3" s="7" t="n">
        <v>4.41</v>
      </c>
      <c r="Y3" s="7" t="n">
        <v>49.62</v>
      </c>
      <c r="Z3" s="7" t="n">
        <v>1.33</v>
      </c>
      <c r="AA3" s="7" t="n">
        <v>-4.42</v>
      </c>
      <c r="AB3" s="9" t="n">
        <v>-4.41</v>
      </c>
      <c r="AC3" s="7" t="n">
        <v/>
      </c>
      <c r="AD3" s="7" t="n">
        <v>5.34</v>
      </c>
      <c r="AE3" s="7" t="n">
        <v>53.88</v>
      </c>
    </row>
    <row r="4">
      <c r="A4" s="2" t="n">
        <v>46078.58476851852</v>
      </c>
      <c r="B4" s="3" t="n">
        <v>92.37</v>
      </c>
      <c r="C4" s="3" t="n">
        <v>135.26</v>
      </c>
      <c r="D4" s="4" t="n">
        <v>1.46</v>
      </c>
      <c r="E4" s="3" t="n">
        <v>222.43</v>
      </c>
      <c r="F4" s="3" t="n">
        <v>249.74</v>
      </c>
      <c r="G4" s="3" t="n">
        <v>0.74</v>
      </c>
      <c r="H4" s="3" t="n">
        <v>6.24</v>
      </c>
      <c r="I4" s="3" t="n">
        <v>1.2</v>
      </c>
      <c r="J4" s="3" t="n">
        <v>2.96</v>
      </c>
      <c r="K4" s="3" t="n">
        <v>1.76</v>
      </c>
      <c r="L4" s="3" t="n">
        <v>2.71</v>
      </c>
      <c r="M4" s="5" t="n">
        <v>1.4</v>
      </c>
      <c r="N4" s="3" t="n">
        <v>15.89</v>
      </c>
      <c r="O4" s="3" t="n">
        <v>13.92</v>
      </c>
      <c r="P4" s="3" t="n">
        <v>14.66</v>
      </c>
      <c r="Q4" s="3" t="n">
        <v>2663.22</v>
      </c>
      <c r="R4" s="3" t="n">
        <v>2.33</v>
      </c>
      <c r="S4" s="3" t="n">
        <v>10.05</v>
      </c>
      <c r="T4" s="3" t="n">
        <v>41.54</v>
      </c>
      <c r="U4" s="3" t="n">
        <v>48.08</v>
      </c>
      <c r="V4" s="3" t="n">
        <v>77.18000000000001</v>
      </c>
      <c r="W4" s="3" t="n">
        <v>34.06</v>
      </c>
      <c r="X4" s="3" t="n">
        <v>1.86</v>
      </c>
      <c r="Y4" s="3" t="n">
        <v>47.82</v>
      </c>
      <c r="Z4" s="3" t="n">
        <v>1.31</v>
      </c>
      <c r="AA4" s="3" t="n">
        <v>6.93</v>
      </c>
      <c r="AB4" s="5" t="n">
        <v>-2.76</v>
      </c>
      <c r="AC4" s="3" t="n">
        <v/>
      </c>
      <c r="AD4" s="3" t="n">
        <v>5.89</v>
      </c>
      <c r="AE4" s="3" t="n">
        <v>56.63</v>
      </c>
    </row>
    <row r="5">
      <c r="A5" s="6" t="n">
        <v>46078.58288194444</v>
      </c>
      <c r="B5" s="7" t="n">
        <v>89.70999999999999</v>
      </c>
      <c r="C5" s="7" t="n">
        <v>131.42</v>
      </c>
      <c r="D5" s="8" t="n">
        <v>1.47</v>
      </c>
      <c r="E5" s="7" t="n">
        <v>215.65</v>
      </c>
      <c r="F5" s="7" t="n">
        <v>241.79</v>
      </c>
      <c r="G5" s="7" t="n">
        <v/>
      </c>
      <c r="H5" s="7" t="n">
        <v/>
      </c>
      <c r="I5" s="7" t="n">
        <v>3.2</v>
      </c>
      <c r="J5" s="7" t="n">
        <v>2.12</v>
      </c>
      <c r="K5" s="7" t="n">
        <v>-1.08</v>
      </c>
      <c r="L5" s="7" t="n">
        <v>2.28</v>
      </c>
      <c r="M5" s="9" t="n">
        <v>2</v>
      </c>
      <c r="N5" s="7" t="n">
        <v>16.94</v>
      </c>
      <c r="O5" s="7" t="n">
        <v>14.92</v>
      </c>
      <c r="P5" s="7" t="n">
        <v>14.97</v>
      </c>
      <c r="Q5" s="7" t="n">
        <v>2641.73</v>
      </c>
      <c r="R5" s="7" t="n">
        <v>-2.35</v>
      </c>
      <c r="S5" s="7" t="n">
        <v>-9.69</v>
      </c>
      <c r="T5" s="7" t="n">
        <v>16.09</v>
      </c>
      <c r="U5" s="7" t="n">
        <v>16.68</v>
      </c>
      <c r="V5" s="7" t="n">
        <v>78.06</v>
      </c>
      <c r="W5" s="7" t="n">
        <v>34.7</v>
      </c>
      <c r="X5" s="7" t="n">
        <v>4.68</v>
      </c>
      <c r="Y5" s="7" t="n">
        <v>46.84</v>
      </c>
      <c r="Z5" s="7" t="n">
        <v>1.37</v>
      </c>
      <c r="AA5" s="7" t="n">
        <v>-4.26</v>
      </c>
      <c r="AB5" s="9" t="n">
        <v>-3.74</v>
      </c>
      <c r="AC5" s="7" t="n">
        <v/>
      </c>
      <c r="AD5" s="7" t="n">
        <v>5.85</v>
      </c>
      <c r="AE5" s="7" t="n">
        <v/>
      </c>
    </row>
    <row r="6">
      <c r="A6" s="2" t="n">
        <v>46078.58359953704</v>
      </c>
      <c r="B6" s="3" t="n">
        <v>92.55</v>
      </c>
      <c r="C6" s="3" t="n">
        <v>133.13</v>
      </c>
      <c r="D6" s="4" t="n">
        <v>1.44</v>
      </c>
      <c r="E6" s="3" t="n">
        <v>214.58</v>
      </c>
      <c r="F6" s="3" t="n">
        <v>245.28</v>
      </c>
      <c r="G6" s="3" t="n">
        <v>4.75</v>
      </c>
      <c r="H6" s="3" t="n">
        <v>12.77</v>
      </c>
      <c r="I6" s="3" t="n">
        <v>5.6</v>
      </c>
      <c r="J6" s="3" t="n">
        <v>3.4</v>
      </c>
      <c r="K6" s="3" t="n">
        <v>-2.19</v>
      </c>
      <c r="L6" s="3" t="n">
        <v>3.74</v>
      </c>
      <c r="M6" s="5" t="n">
        <v>3.6</v>
      </c>
      <c r="N6" s="3" t="n">
        <v>16.8</v>
      </c>
      <c r="O6" s="3" t="n">
        <v>14.95</v>
      </c>
      <c r="P6" s="3" t="n">
        <v>13.32</v>
      </c>
      <c r="Q6" s="3" t="n">
        <v>2460</v>
      </c>
      <c r="R6" s="3" t="n">
        <v>-20.16</v>
      </c>
      <c r="S6" s="3" t="n">
        <v>-75.73</v>
      </c>
      <c r="T6" s="3" t="n">
        <v>-33.92</v>
      </c>
      <c r="U6" s="3" t="n">
        <v>-51.39</v>
      </c>
      <c r="V6" s="3" t="n">
        <v>73.09</v>
      </c>
      <c r="W6" s="3" t="n">
        <v>32.4</v>
      </c>
      <c r="X6" s="3" t="n">
        <v>7.82</v>
      </c>
      <c r="Y6" s="3" t="n">
        <v>54.45</v>
      </c>
      <c r="Z6" s="3" t="n">
        <v>1.29</v>
      </c>
      <c r="AA6" s="3" t="n">
        <v>-9.369999999999999</v>
      </c>
      <c r="AB6" s="5" t="n">
        <v>-5.24</v>
      </c>
      <c r="AC6" s="3" t="n">
        <v/>
      </c>
      <c r="AD6" s="3" t="n">
        <v>5.58</v>
      </c>
      <c r="AE6" s="3" t="n">
        <v>54.12</v>
      </c>
    </row>
    <row r="7">
      <c r="A7" s="6" t="n">
        <v>46078.58518518518</v>
      </c>
      <c r="B7" s="7" t="n">
        <v>91.61</v>
      </c>
      <c r="C7" s="7" t="n">
        <v>132.54</v>
      </c>
      <c r="D7" s="8" t="n">
        <v>1.45</v>
      </c>
      <c r="E7" s="7" t="n">
        <v>220.03</v>
      </c>
      <c r="F7" s="7" t="n">
        <v>246.29</v>
      </c>
      <c r="G7" s="7" t="n">
        <v>5.72</v>
      </c>
      <c r="H7" s="7" t="n">
        <v>15.63</v>
      </c>
      <c r="I7" s="7" t="n">
        <v>4</v>
      </c>
      <c r="J7" s="7" t="n">
        <v>6.89</v>
      </c>
      <c r="K7" s="7" t="n">
        <v>2.89</v>
      </c>
      <c r="L7" s="7" t="n">
        <v>6.52</v>
      </c>
      <c r="M7" s="9" t="n">
        <v>2.4</v>
      </c>
      <c r="N7" s="7" t="n">
        <v>17.49</v>
      </c>
      <c r="O7" s="7" t="n">
        <v>15.67</v>
      </c>
      <c r="P7" s="7" t="n">
        <v>15.35</v>
      </c>
      <c r="Q7" s="7" t="n">
        <v>2437.63</v>
      </c>
      <c r="R7" s="7" t="n">
        <v>-4.27</v>
      </c>
      <c r="S7" s="7" t="n">
        <v>-17.21</v>
      </c>
      <c r="T7" s="7" t="n">
        <v>57.82</v>
      </c>
      <c r="U7" s="7" t="n">
        <v>62.4</v>
      </c>
      <c r="V7" s="7" t="n">
        <v>81.40000000000001</v>
      </c>
      <c r="W7" s="7" t="n">
        <v>34.91</v>
      </c>
      <c r="X7" s="7" t="n">
        <v>5.62</v>
      </c>
      <c r="Y7" s="7" t="n">
        <v>48.09</v>
      </c>
      <c r="Z7" s="7" t="n">
        <v>1.31</v>
      </c>
      <c r="AA7" s="7" t="n">
        <v>10.7</v>
      </c>
      <c r="AB7" s="9" t="n">
        <v>-4.09</v>
      </c>
      <c r="AC7" s="7" t="n">
        <v/>
      </c>
      <c r="AD7" s="7" t="n">
        <v>5.89</v>
      </c>
      <c r="AE7" s="7" t="n">
        <v>58.75</v>
      </c>
    </row>
    <row r="8">
      <c r="A8" s="2" t="n">
        <v>46078.58431712963</v>
      </c>
      <c r="B8" s="3" t="n">
        <v>91.56999999999999</v>
      </c>
      <c r="C8" s="3" t="n">
        <v>133.75</v>
      </c>
      <c r="D8" s="4" t="n">
        <v>1.46</v>
      </c>
      <c r="E8" s="3" t="n">
        <v>217.64</v>
      </c>
      <c r="F8" s="3" t="n">
        <v>238.26</v>
      </c>
      <c r="G8" s="3" t="n">
        <v>-4.09</v>
      </c>
      <c r="H8" s="3" t="n">
        <v>6.4</v>
      </c>
      <c r="I8" s="3" t="n">
        <v>4.2</v>
      </c>
      <c r="J8" s="3" t="n">
        <v>6.94</v>
      </c>
      <c r="K8" s="3" t="n">
        <v>2.74</v>
      </c>
      <c r="L8" s="3" t="n">
        <v>6.48</v>
      </c>
      <c r="M8" s="5" t="n">
        <v>2.2</v>
      </c>
      <c r="N8" s="3" t="n">
        <v>16.44</v>
      </c>
      <c r="O8" s="3" t="n">
        <v>14.11</v>
      </c>
      <c r="P8" s="3" t="n">
        <v>14.54</v>
      </c>
      <c r="Q8" s="3" t="n">
        <v>3146.75</v>
      </c>
      <c r="R8" s="3" t="n">
        <v>4.44</v>
      </c>
      <c r="S8" s="3" t="n">
        <v>21.08</v>
      </c>
      <c r="T8" s="3" t="n">
        <v>94.62</v>
      </c>
      <c r="U8" s="3" t="n">
        <v>105.98</v>
      </c>
      <c r="V8" s="3" t="n">
        <v>83.42</v>
      </c>
      <c r="W8" s="3" t="n">
        <v>37.3</v>
      </c>
      <c r="X8" s="3" t="n">
        <v>5.81</v>
      </c>
      <c r="Y8" s="3" t="n">
        <v>46.1</v>
      </c>
      <c r="Z8" s="3" t="n">
        <v>1.33</v>
      </c>
      <c r="AA8" s="3" t="n">
        <v>10.34</v>
      </c>
      <c r="AB8" s="5" t="n">
        <v>-3.86</v>
      </c>
      <c r="AC8" s="3" t="n">
        <v/>
      </c>
      <c r="AD8" s="3" t="n">
        <v>6.1</v>
      </c>
      <c r="AE8" s="3" t="n">
        <v>56.73</v>
      </c>
    </row>
    <row r="9">
      <c r="A9" s="6" t="n">
        <v>46078.58686342592</v>
      </c>
      <c r="B9" s="7" t="n">
        <v>92.62</v>
      </c>
      <c r="C9" s="7" t="n">
        <v>135.4</v>
      </c>
      <c r="D9" s="8" t="n">
        <v>1.46</v>
      </c>
      <c r="E9" s="7" t="n">
        <v>223.51</v>
      </c>
      <c r="F9" s="7" t="n">
        <v>250.76</v>
      </c>
      <c r="G9" s="7" t="n">
        <v>-0.85</v>
      </c>
      <c r="H9" s="7" t="n">
        <v>9.92</v>
      </c>
      <c r="I9" s="7" t="n">
        <v>1.2</v>
      </c>
      <c r="J9" s="7" t="n">
        <v>3.79</v>
      </c>
      <c r="K9" s="7" t="n">
        <v>2.59</v>
      </c>
      <c r="L9" s="7" t="n">
        <v>3.43</v>
      </c>
      <c r="M9" s="9" t="n">
        <v>1.8</v>
      </c>
      <c r="N9" s="7" t="n">
        <v>16.09</v>
      </c>
      <c r="O9" s="7" t="n">
        <v>14.19</v>
      </c>
      <c r="P9" s="7" t="n">
        <v>14.61</v>
      </c>
      <c r="Q9" s="7" t="n">
        <v>2601.92</v>
      </c>
      <c r="R9" s="7" t="n">
        <v>0.9</v>
      </c>
      <c r="S9" s="7" t="n">
        <v>3.86</v>
      </c>
      <c r="T9" s="7" t="n">
        <v>43.97</v>
      </c>
      <c r="U9" s="7" t="n">
        <v>49.87</v>
      </c>
      <c r="V9" s="7" t="n">
        <v>78.28</v>
      </c>
      <c r="W9" s="7" t="n">
        <v>34.18</v>
      </c>
      <c r="X9" s="7" t="n">
        <v>2.17</v>
      </c>
      <c r="Y9" s="7" t="n">
        <v>48.94</v>
      </c>
      <c r="Z9" s="7" t="n">
        <v>1.29</v>
      </c>
      <c r="AA9" s="7" t="n">
        <v>10.03</v>
      </c>
      <c r="AB9" s="9" t="n">
        <v>-3.19</v>
      </c>
      <c r="AC9" s="7" t="n">
        <v/>
      </c>
      <c r="AD9" s="7" t="n">
        <v>5.91</v>
      </c>
      <c r="AE9" s="7" t="n">
        <v>54.51</v>
      </c>
    </row>
    <row r="10">
      <c r="A10" s="2" t="n">
        <v>46078.58609953704</v>
      </c>
      <c r="B10" s="3" t="n">
        <v>93.2</v>
      </c>
      <c r="C10" s="3" t="n">
        <v>137.13</v>
      </c>
      <c r="D10" s="4" t="n">
        <v>1.47</v>
      </c>
      <c r="E10" s="3" t="n">
        <v>222.13</v>
      </c>
      <c r="F10" s="3" t="n">
        <v>253.36</v>
      </c>
      <c r="G10" s="3" t="n">
        <v>-0.46</v>
      </c>
      <c r="H10" s="3" t="n">
        <v>10.42</v>
      </c>
      <c r="I10" s="3" t="n">
        <v>3.2</v>
      </c>
      <c r="J10" s="3" t="n">
        <v>3.4</v>
      </c>
      <c r="K10" s="3" t="n">
        <v>0.2</v>
      </c>
      <c r="L10" s="3" t="n">
        <v>3.37</v>
      </c>
      <c r="M10" s="5" t="n">
        <v>2</v>
      </c>
      <c r="N10" s="3" t="n">
        <v>14.68</v>
      </c>
      <c r="O10" s="3" t="n">
        <v>12.77</v>
      </c>
      <c r="P10" s="3" t="n">
        <v>12.61</v>
      </c>
      <c r="Q10" s="3" t="n">
        <v>2591</v>
      </c>
      <c r="R10" s="3" t="n">
        <v>-9.25</v>
      </c>
      <c r="S10" s="3" t="n">
        <v>-38.18</v>
      </c>
      <c r="T10" s="3" t="n">
        <v>1.02</v>
      </c>
      <c r="U10" s="3" t="n">
        <v>-5.12</v>
      </c>
      <c r="V10" s="3" t="n">
        <v>69.56</v>
      </c>
      <c r="W10" s="3" t="n">
        <v>31.45</v>
      </c>
      <c r="X10" s="3" t="n">
        <v>4.58</v>
      </c>
      <c r="Y10" s="3" t="n">
        <v>48.18</v>
      </c>
      <c r="Z10" s="3" t="n">
        <v>1.27</v>
      </c>
      <c r="AA10" s="3" t="n">
        <v>0.72</v>
      </c>
      <c r="AB10" s="5" t="n">
        <v>-3.58</v>
      </c>
      <c r="AC10" s="3" t="n">
        <v/>
      </c>
      <c r="AD10" s="3" t="n">
        <v>5.66</v>
      </c>
      <c r="AE10" s="3" t="n">
        <v>55.65</v>
      </c>
    </row>
    <row r="11">
      <c r="A11" s="6" t="n">
        <v>46078.58645833333</v>
      </c>
      <c r="B11" s="7" t="n">
        <v>91.75</v>
      </c>
      <c r="C11" s="7" t="n">
        <v>132.28</v>
      </c>
      <c r="D11" s="8" t="n">
        <v>1.44</v>
      </c>
      <c r="E11" s="7" t="n">
        <v>213.98</v>
      </c>
      <c r="F11" s="7" t="n">
        <v>245.17</v>
      </c>
      <c r="G11" s="7" t="n">
        <v>0.7</v>
      </c>
      <c r="H11" s="7" t="n">
        <v>19.19</v>
      </c>
      <c r="I11" s="7" t="n">
        <v>3</v>
      </c>
      <c r="J11" s="7" t="n">
        <v>6.19</v>
      </c>
      <c r="K11" s="7" t="n">
        <v>3.19</v>
      </c>
      <c r="L11" s="7" t="n">
        <v>5.75</v>
      </c>
      <c r="M11" s="9" t="n">
        <v>2.2</v>
      </c>
      <c r="N11" s="7" t="n">
        <v>15.72</v>
      </c>
      <c r="O11" s="7" t="n">
        <v>13.89</v>
      </c>
      <c r="P11" s="7" t="n">
        <v>13.88</v>
      </c>
      <c r="Q11" s="7" t="n">
        <v>2471</v>
      </c>
      <c r="R11" s="7" t="n">
        <v>-5.82</v>
      </c>
      <c r="S11" s="7" t="n">
        <v>-22.01</v>
      </c>
      <c r="T11" s="7" t="n">
        <v>42.39</v>
      </c>
      <c r="U11" s="7" t="n">
        <v>44.89</v>
      </c>
      <c r="V11" s="7" t="n">
        <v>69.45</v>
      </c>
      <c r="W11" s="7" t="n">
        <v>31.7</v>
      </c>
      <c r="X11" s="7" t="n">
        <v>4.61</v>
      </c>
      <c r="Y11" s="7" t="n">
        <v>47.17</v>
      </c>
      <c r="Z11" s="7" t="n">
        <v>1.28</v>
      </c>
      <c r="AA11" s="7" t="n">
        <v>12.51</v>
      </c>
      <c r="AB11" s="9" t="n">
        <v>-3.78</v>
      </c>
      <c r="AC11" s="7" t="n">
        <v/>
      </c>
      <c r="AD11" s="7" t="n">
        <v>5.56</v>
      </c>
      <c r="AE11" s="7" t="n">
        <v>55.88</v>
      </c>
    </row>
    <row r="12">
      <c r="A12" s="2" t="n">
        <v>46078.58723379629</v>
      </c>
      <c r="B12" s="3" t="n">
        <v>91.79000000000001</v>
      </c>
      <c r="C12" s="3" t="n">
        <v>135</v>
      </c>
      <c r="D12" s="4" t="n">
        <v>1.47</v>
      </c>
      <c r="E12" s="3" t="n">
        <v>218.11</v>
      </c>
      <c r="F12" s="3" t="n">
        <v>249.96</v>
      </c>
      <c r="G12" s="3" t="n">
        <v/>
      </c>
      <c r="H12" s="3" t="n">
        <v/>
      </c>
      <c r="I12" s="3" t="n">
        <v>2.8</v>
      </c>
      <c r="J12" s="3" t="n">
        <v>1.48</v>
      </c>
      <c r="K12" s="3" t="n">
        <v>-1.32</v>
      </c>
      <c r="L12" s="3" t="n">
        <v>1.67</v>
      </c>
      <c r="M12" s="5" t="n">
        <v>1.2</v>
      </c>
      <c r="N12" s="3" t="n">
        <v>14.79</v>
      </c>
      <c r="O12" s="3" t="n">
        <v>12.94</v>
      </c>
      <c r="P12" s="3" t="n">
        <v>13.56</v>
      </c>
      <c r="Q12" s="3" t="n">
        <v>2499</v>
      </c>
      <c r="R12" s="3" t="n">
        <v>-1.82</v>
      </c>
      <c r="S12" s="3" t="n">
        <v>-7.1</v>
      </c>
      <c r="T12" s="3" t="n">
        <v>11.98</v>
      </c>
      <c r="U12" s="3" t="n">
        <v>12.53</v>
      </c>
      <c r="V12" s="3" t="n">
        <v>67.45999999999999</v>
      </c>
      <c r="W12" s="3" t="n">
        <v>30.89</v>
      </c>
      <c r="X12" s="3" t="n">
        <v>3.47</v>
      </c>
      <c r="Y12" s="3" t="n">
        <v>49.21</v>
      </c>
      <c r="Z12" s="3" t="n">
        <v>1.34</v>
      </c>
      <c r="AA12" s="3" t="n">
        <v>-5.56</v>
      </c>
      <c r="AB12" s="5" t="n">
        <v>-2.72</v>
      </c>
      <c r="AC12" s="3" t="n">
        <v/>
      </c>
      <c r="AD12" s="3" t="n">
        <v>5.56</v>
      </c>
      <c r="AE12" s="3" t="n">
        <v/>
      </c>
    </row>
    <row r="13">
      <c r="A13" s="6" t="n">
        <v>46078.59403935185</v>
      </c>
      <c r="B13" s="7" t="n">
        <v>91.7</v>
      </c>
      <c r="C13" s="7" t="n">
        <v>135.09</v>
      </c>
      <c r="D13" s="8" t="n">
        <v>1.47</v>
      </c>
      <c r="E13" s="7" t="n">
        <v>216.43</v>
      </c>
      <c r="F13" s="7" t="n">
        <v>248.67</v>
      </c>
      <c r="G13" s="7" t="n">
        <v>2.29</v>
      </c>
      <c r="H13" s="7" t="n">
        <v>-2.45</v>
      </c>
      <c r="I13" s="7" t="n">
        <v>0.4</v>
      </c>
      <c r="J13" s="7" t="n">
        <v>0.87</v>
      </c>
      <c r="K13" s="7" t="n">
        <v>0.47</v>
      </c>
      <c r="L13" s="7" t="n">
        <v>0.8100000000000001</v>
      </c>
      <c r="M13" s="9" t="n">
        <v>0.2</v>
      </c>
      <c r="N13" s="7" t="n">
        <v>14.28</v>
      </c>
      <c r="O13" s="7" t="n">
        <v>12.39</v>
      </c>
      <c r="P13" s="7" t="n">
        <v>14.08</v>
      </c>
      <c r="Q13" s="7" t="n">
        <v>2536.13</v>
      </c>
      <c r="R13" s="7" t="n">
        <v>2.87</v>
      </c>
      <c r="S13" s="7" t="n">
        <v>11.11</v>
      </c>
      <c r="T13" s="7" t="n">
        <v>20.27</v>
      </c>
      <c r="U13" s="7" t="n">
        <v>25.22</v>
      </c>
      <c r="V13" s="7" t="n">
        <v>64.41</v>
      </c>
      <c r="W13" s="7" t="n">
        <v>30.06</v>
      </c>
      <c r="X13" s="7" t="n">
        <v>0.13</v>
      </c>
      <c r="Y13" s="7" t="n">
        <v>45</v>
      </c>
      <c r="Z13" s="7" t="n">
        <v>1.39</v>
      </c>
      <c r="AA13" s="7" t="n">
        <v>1.84</v>
      </c>
      <c r="AB13" s="9" t="n">
        <v>-1.34</v>
      </c>
      <c r="AC13" s="7" t="n">
        <v/>
      </c>
      <c r="AD13" s="7" t="n">
        <v>5.48</v>
      </c>
      <c r="AE13" s="7" t="n">
        <v>56.43</v>
      </c>
    </row>
    <row r="14">
      <c r="A14" s="2" t="n">
        <v>46078.59484953704</v>
      </c>
      <c r="B14" s="3" t="n">
        <v>92.06999999999999</v>
      </c>
      <c r="C14" s="3" t="n">
        <v>133.36</v>
      </c>
      <c r="D14" s="4" t="n">
        <v>1.45</v>
      </c>
      <c r="E14" s="3" t="n">
        <v>220.85</v>
      </c>
      <c r="F14" s="3" t="n">
        <v>238.26</v>
      </c>
      <c r="G14" s="3" t="n">
        <v/>
      </c>
      <c r="H14" s="3" t="n">
        <v/>
      </c>
      <c r="I14" s="3" t="n">
        <v>0.8</v>
      </c>
      <c r="J14" s="3" t="n">
        <v>2.07</v>
      </c>
      <c r="K14" s="3" t="n">
        <v>1.27</v>
      </c>
      <c r="L14" s="3" t="n">
        <v>1.89</v>
      </c>
      <c r="M14" s="5" t="n">
        <v>0.8</v>
      </c>
      <c r="N14" s="3" t="n">
        <v>18.13</v>
      </c>
      <c r="O14" s="3" t="n">
        <v>15.88</v>
      </c>
      <c r="P14" s="3" t="n">
        <v>17.36</v>
      </c>
      <c r="Q14" s="3" t="n">
        <v>2988.61</v>
      </c>
      <c r="R14" s="3" t="n">
        <v>0.65</v>
      </c>
      <c r="S14" s="3" t="n">
        <v>3.13</v>
      </c>
      <c r="T14" s="3" t="n">
        <v>25.03</v>
      </c>
      <c r="U14" s="3" t="n">
        <v>27.3</v>
      </c>
      <c r="V14" s="3" t="n">
        <v>92.94</v>
      </c>
      <c r="W14" s="3" t="n">
        <v>39.35</v>
      </c>
      <c r="X14" s="3" t="n">
        <v>1.08</v>
      </c>
      <c r="Y14" s="3" t="n">
        <v>45.95</v>
      </c>
      <c r="Z14" s="3" t="n">
        <v>1.35</v>
      </c>
      <c r="AA14" s="3" t="n">
        <v>4.09</v>
      </c>
      <c r="AB14" s="5" t="n">
        <v>-2.13</v>
      </c>
      <c r="AC14" s="3" t="n">
        <v/>
      </c>
      <c r="AD14" s="3" t="n">
        <v>6.31</v>
      </c>
      <c r="AE14" s="3" t="n">
        <v/>
      </c>
    </row>
    <row r="15">
      <c r="A15" s="6" t="n">
        <v>46078.59554398148</v>
      </c>
      <c r="B15" s="7" t="n">
        <v>91.79000000000001</v>
      </c>
      <c r="C15" s="7" t="n">
        <v>133.84</v>
      </c>
      <c r="D15" s="8" t="n">
        <v>1.46</v>
      </c>
      <c r="E15" s="7" t="n">
        <v>213.41</v>
      </c>
      <c r="F15" s="7" t="n">
        <v>234.97</v>
      </c>
      <c r="G15" s="7" t="n">
        <v>-8.26</v>
      </c>
      <c r="H15" s="7" t="n">
        <v>-4.4</v>
      </c>
      <c r="I15" s="7" t="n">
        <v>0.8</v>
      </c>
      <c r="J15" s="7" t="n">
        <v>1.82</v>
      </c>
      <c r="K15" s="7" t="n">
        <v>1.02</v>
      </c>
      <c r="L15" s="7" t="n">
        <v>1.65</v>
      </c>
      <c r="M15" s="9" t="n">
        <v>0.6</v>
      </c>
      <c r="N15" s="7" t="n">
        <v>15.17</v>
      </c>
      <c r="O15" s="7" t="n">
        <v>12.58</v>
      </c>
      <c r="P15" s="7" t="n">
        <v>14.66</v>
      </c>
      <c r="Q15" s="7" t="n">
        <v>3447.29</v>
      </c>
      <c r="R15" s="7" t="n">
        <v>4.04</v>
      </c>
      <c r="S15" s="7" t="n">
        <v>19.38</v>
      </c>
      <c r="T15" s="7" t="n">
        <v>37.79</v>
      </c>
      <c r="U15" s="7" t="n">
        <v>44.02</v>
      </c>
      <c r="V15" s="7" t="n">
        <v>77.28</v>
      </c>
      <c r="W15" s="7" t="n">
        <v>36.36</v>
      </c>
      <c r="X15" s="7" t="n">
        <v>0.93</v>
      </c>
      <c r="Y15" s="7" t="n">
        <v>45.06</v>
      </c>
      <c r="Z15" s="7" t="n">
        <v>1.34</v>
      </c>
      <c r="AA15" s="7" t="n">
        <v>3.5</v>
      </c>
      <c r="AB15" s="9" t="n">
        <v>-1.77</v>
      </c>
      <c r="AC15" s="7" t="n">
        <v/>
      </c>
      <c r="AD15" s="7" t="n">
        <v>5.98</v>
      </c>
      <c r="AE15" s="7" t="n">
        <v>52.6</v>
      </c>
    </row>
    <row r="16">
      <c r="A16" s="2" t="n">
        <v>46078.59442129629</v>
      </c>
      <c r="B16" s="3" t="n">
        <v>91.17</v>
      </c>
      <c r="C16" s="3" t="n">
        <v>134.89</v>
      </c>
      <c r="D16" s="4" t="n">
        <v>1.48</v>
      </c>
      <c r="E16" s="3" t="n">
        <v>220.04</v>
      </c>
      <c r="F16" s="3" t="n">
        <v>250.55</v>
      </c>
      <c r="G16" s="3" t="n">
        <v>1.67</v>
      </c>
      <c r="H16" s="3" t="n">
        <v>4.46</v>
      </c>
      <c r="I16" s="3" t="n">
        <v>1.4</v>
      </c>
      <c r="J16" s="3" t="n">
        <v>3.28</v>
      </c>
      <c r="K16" s="3" t="n">
        <v>1.88</v>
      </c>
      <c r="L16" s="3" t="n">
        <v>3.02</v>
      </c>
      <c r="M16" s="5" t="n">
        <v>1.6</v>
      </c>
      <c r="N16" s="3" t="n">
        <v>15.48</v>
      </c>
      <c r="O16" s="3" t="n">
        <v>13.62</v>
      </c>
      <c r="P16" s="3" t="n">
        <v>14.07</v>
      </c>
      <c r="Q16" s="3" t="n">
        <v>2511.34</v>
      </c>
      <c r="R16" s="3" t="n">
        <v>4.47</v>
      </c>
      <c r="S16" s="3" t="n">
        <v>17.94</v>
      </c>
      <c r="T16" s="3" t="n">
        <v>52.64</v>
      </c>
      <c r="U16" s="3" t="n">
        <v>62.8</v>
      </c>
      <c r="V16" s="3" t="n">
        <v>71.94</v>
      </c>
      <c r="W16" s="3" t="n">
        <v>32.22</v>
      </c>
      <c r="X16" s="3" t="n">
        <v>2.17</v>
      </c>
      <c r="Y16" s="3" t="n">
        <v>51.23</v>
      </c>
      <c r="Z16" s="3" t="n">
        <v>1.33</v>
      </c>
      <c r="AA16" s="3" t="n">
        <v>7.46</v>
      </c>
      <c r="AB16" s="5" t="n">
        <v>-2.95</v>
      </c>
      <c r="AC16" s="3" t="n">
        <v/>
      </c>
      <c r="AD16" s="3" t="n">
        <v>5.69</v>
      </c>
      <c r="AE16" s="3" t="n">
        <v>55.74</v>
      </c>
    </row>
    <row r="17">
      <c r="A17" s="6" t="n">
        <v>46078.59518518519</v>
      </c>
      <c r="B17" s="7" t="n">
        <v>91</v>
      </c>
      <c r="C17" s="7" t="n">
        <v>128.08</v>
      </c>
      <c r="D17" s="8" t="n">
        <v>1.41</v>
      </c>
      <c r="E17" s="7" t="n">
        <v>171.1</v>
      </c>
      <c r="F17" s="7" t="n">
        <v>209.86</v>
      </c>
      <c r="G17" s="7" t="n">
        <v/>
      </c>
      <c r="H17" s="7" t="n">
        <v/>
      </c>
      <c r="I17" s="7" t="n">
        <v>2.6</v>
      </c>
      <c r="J17" s="7" t="n">
        <v>-6.39</v>
      </c>
      <c r="K17" s="7" t="n">
        <v>-8.99</v>
      </c>
      <c r="L17" s="7" t="n">
        <v>-4.94</v>
      </c>
      <c r="M17" s="9" t="n">
        <v>2.2</v>
      </c>
      <c r="N17" s="7" t="n">
        <v>10.83</v>
      </c>
      <c r="O17" s="7" t="n">
        <v>9.449999999999999</v>
      </c>
      <c r="P17" s="7" t="n">
        <v>12.39</v>
      </c>
      <c r="Q17" s="7" t="n">
        <v>2535.88</v>
      </c>
      <c r="R17" s="7" t="n">
        <v>-27.17</v>
      </c>
      <c r="S17" s="7" t="n">
        <v>-62.2</v>
      </c>
      <c r="T17" s="7" t="n">
        <v>-105.81</v>
      </c>
      <c r="U17" s="7" t="n">
        <v>-147.25</v>
      </c>
      <c r="V17" s="7" t="n">
        <v>33.09</v>
      </c>
      <c r="W17" s="7" t="n">
        <v>19.5</v>
      </c>
      <c r="X17" s="7" t="n">
        <v>4.05</v>
      </c>
      <c r="Y17" s="7" t="n">
        <v>47.1</v>
      </c>
      <c r="Z17" s="7" t="n">
        <v>1.36</v>
      </c>
      <c r="AA17" s="7" t="n">
        <v>-45.15</v>
      </c>
      <c r="AB17" s="9" t="n">
        <v>-3.94</v>
      </c>
      <c r="AC17" s="7" t="n">
        <v/>
      </c>
      <c r="AD17" s="7" t="n">
        <v>4</v>
      </c>
      <c r="AE17" s="7" t="n">
        <v/>
      </c>
    </row>
    <row r="18">
      <c r="A18" s="2" t="n">
        <v>46078.59586805556</v>
      </c>
      <c r="B18" s="3" t="n">
        <v>90.98999999999999</v>
      </c>
      <c r="C18" s="3" t="n">
        <v>127.05</v>
      </c>
      <c r="D18" s="4" t="n">
        <v>1.4</v>
      </c>
      <c r="E18" s="3" t="n">
        <v>206.72</v>
      </c>
      <c r="F18" s="3" t="n">
        <v>219.78</v>
      </c>
      <c r="G18" s="3" t="n">
        <v/>
      </c>
      <c r="H18" s="3" t="n">
        <v/>
      </c>
      <c r="I18" s="3" t="n">
        <v>0.4</v>
      </c>
      <c r="J18" s="3" t="n">
        <v>4.69</v>
      </c>
      <c r="K18" s="3" t="n">
        <v>4.29</v>
      </c>
      <c r="L18" s="3" t="n">
        <v>4.11</v>
      </c>
      <c r="M18" s="5" t="n">
        <v>0.8</v>
      </c>
      <c r="N18" s="3" t="n">
        <v>20.85</v>
      </c>
      <c r="O18" s="3" t="n">
        <v>18.34</v>
      </c>
      <c r="P18" s="3" t="n">
        <v>20.45</v>
      </c>
      <c r="Q18" s="3" t="n">
        <v>3244.76</v>
      </c>
      <c r="R18" s="3" t="n">
        <v>7.5</v>
      </c>
      <c r="S18" s="3" t="n">
        <v>34.7</v>
      </c>
      <c r="T18" s="3" t="n">
        <v>79.04000000000001</v>
      </c>
      <c r="U18" s="3" t="n">
        <v>86.8</v>
      </c>
      <c r="V18" s="3" t="n">
        <v>100.4</v>
      </c>
      <c r="W18" s="3" t="n">
        <v>42.55</v>
      </c>
      <c r="X18" s="3" t="n">
        <v>0.7</v>
      </c>
      <c r="Y18" s="3" t="n">
        <v>45.78</v>
      </c>
      <c r="Z18" s="3" t="n">
        <v>1.29</v>
      </c>
      <c r="AA18" s="3" t="n">
        <v>11.54</v>
      </c>
      <c r="AB18" s="5" t="n">
        <v>-2.13</v>
      </c>
      <c r="AC18" s="3" t="n">
        <v/>
      </c>
      <c r="AD18" s="3" t="n">
        <v>6.36</v>
      </c>
      <c r="AE18" s="3" t="n">
        <v/>
      </c>
    </row>
    <row r="20">
      <c r="A20" s="10" t="inlineStr">
        <is>
          <t>Pos Av</t>
        </is>
      </c>
      <c r="B20" s="11">
        <f>IF(COUNTIF(B2:B18,"&gt;0"),AVERAGEIF(B2:B18,"&gt;0"),"—")</f>
        <v/>
      </c>
      <c r="C20" s="11">
        <f>IF(COUNTIF(C2:C18,"&gt;0"),AVERAGEIF(C2:C18,"&gt;0"),"—")</f>
        <v/>
      </c>
      <c r="D20" s="12">
        <f>IF(COUNTIF(D2:D18,"&gt;0"),AVERAGEIF(D2:D18,"&gt;0"),"—")</f>
        <v/>
      </c>
      <c r="E20" s="11">
        <f>IF(COUNTIF(E2:E18,"&gt;0"),AVERAGEIF(E2:E18,"&gt;0"),"—")</f>
        <v/>
      </c>
      <c r="F20" s="11">
        <f>IF(COUNTIF(F2:F18,"&gt;0"),AVERAGEIF(F2:F18,"&gt;0"),"—")</f>
        <v/>
      </c>
      <c r="G20" s="11">
        <f>IF(COUNTIF(G2:G18,"&gt;0"),AVERAGEIF(G2:G18,"&gt;0"),"—")</f>
        <v/>
      </c>
      <c r="H20" s="11">
        <f>IF(COUNTIF(H2:H18,"&gt;0"),AVERAGEIF(H2:H18,"&gt;0"),"—")</f>
        <v/>
      </c>
      <c r="I20" s="11">
        <f>IF(COUNTIF(I2:I18,"&gt;0"),AVERAGEIF(I2:I18,"&gt;0"),"—")</f>
        <v/>
      </c>
      <c r="J20" s="11">
        <f>IF(COUNTIF(J2:J18,"&gt;0"),AVERAGEIF(J2:J18,"&gt;0"),"—")</f>
        <v/>
      </c>
      <c r="K20" s="11">
        <f>IF(COUNTIF(K2:K18,"&gt;0"),AVERAGEIF(K2:K18,"&gt;0"),"—")</f>
        <v/>
      </c>
      <c r="L20" s="11">
        <f>IF(COUNTIF(L2:L18,"&gt;0"),AVERAGEIF(L2:L18,"&gt;0"),"—")</f>
        <v/>
      </c>
      <c r="M20" s="13">
        <f>IF(COUNTIF(M2:M18,"&gt;0"),AVERAGEIF(M2:M18,"&gt;0"),"—")</f>
        <v/>
      </c>
      <c r="N20" s="11">
        <f>IF(COUNTIF(N2:N18,"&gt;0"),AVERAGEIF(N2:N18,"&gt;0"),"—")</f>
        <v/>
      </c>
      <c r="O20" s="11">
        <f>IF(COUNTIF(O2:O18,"&gt;0"),AVERAGEIF(O2:O18,"&gt;0"),"—")</f>
        <v/>
      </c>
      <c r="P20" s="11">
        <f>IF(COUNTIF(P2:P18,"&gt;0"),AVERAGEIF(P2:P18,"&gt;0"),"—")</f>
        <v/>
      </c>
      <c r="Q20" s="11">
        <f>IF(COUNTIF(Q2:Q18,"&gt;0"),AVERAGEIF(Q2:Q18,"&gt;0"),"—")</f>
        <v/>
      </c>
      <c r="R20" s="11">
        <f>IF(COUNTIF(R2:R18,"&gt;0"),AVERAGEIF(R2:R18,"&gt;0"),"—")</f>
        <v/>
      </c>
      <c r="S20" s="11">
        <f>IF(COUNTIF(S2:S18,"&gt;0"),AVERAGEIF(S2:S18,"&gt;0"),"—")</f>
        <v/>
      </c>
      <c r="T20" s="11">
        <f>IF(COUNTIF(T2:T18,"&gt;0"),AVERAGEIF(T2:T18,"&gt;0"),"—")</f>
        <v/>
      </c>
      <c r="U20" s="11">
        <f>IF(COUNTIF(U2:U18,"&gt;0"),AVERAGEIF(U2:U18,"&gt;0"),"—")</f>
        <v/>
      </c>
      <c r="V20" s="11">
        <f>IF(COUNTIF(V2:V18,"&gt;0"),AVERAGEIF(V2:V18,"&gt;0"),"—")</f>
        <v/>
      </c>
      <c r="W20" s="11">
        <f>IF(COUNTIF(W2:W18,"&gt;0"),AVERAGEIF(W2:W18,"&gt;0"),"—")</f>
        <v/>
      </c>
      <c r="X20" s="11">
        <f>IF(COUNTIF(X2:X18,"&gt;0"),AVERAGEIF(X2:X18,"&gt;0"),"—")</f>
        <v/>
      </c>
      <c r="Y20" s="11">
        <f>IF(COUNTIF(Y2:Y18,"&gt;0"),AVERAGEIF(Y2:Y18,"&gt;0"),"—")</f>
        <v/>
      </c>
      <c r="Z20" s="11">
        <f>IF(COUNTIF(Z2:Z18,"&gt;0"),AVERAGEIF(Z2:Z18,"&gt;0"),"—")</f>
        <v/>
      </c>
      <c r="AA20" s="11">
        <f>IF(COUNTIF(AA2:AA18,"&gt;0"),AVERAGEIF(AA2:AA18,"&gt;0"),"—")</f>
        <v/>
      </c>
      <c r="AB20" s="13">
        <f>IF(COUNTIF(AB2:AB18,"&gt;0"),AVERAGEIF(AB2:AB18,"&gt;0"),"—")</f>
        <v/>
      </c>
      <c r="AC20" s="11">
        <f>IF(COUNTIF(AC2:AC18,"&gt;0"),AVERAGEIF(AC2:AC18,"&gt;0"),"—")</f>
        <v/>
      </c>
      <c r="AD20" s="11">
        <f>IF(COUNTIF(AD2:AD18,"&gt;0"),AVERAGEIF(AD2:AD18,"&gt;0"),"—")</f>
        <v/>
      </c>
      <c r="AE20" s="11">
        <f>IF(COUNTIF(AE2:AE18,"&gt;0"),AVERAGEIF(AE2:AE18,"&gt;0"),"—")</f>
        <v/>
      </c>
    </row>
    <row r="21">
      <c r="A21" s="10" t="inlineStr">
        <is>
          <t>Neg Av</t>
        </is>
      </c>
      <c r="B21" s="11">
        <f>IF(COUNTIF(B2:B18,"&lt;0"),AVERAGEIF(B2:B18,"&lt;0"),"—")</f>
        <v/>
      </c>
      <c r="C21" s="11">
        <f>IF(COUNTIF(C2:C18,"&lt;0"),AVERAGEIF(C2:C18,"&lt;0"),"—")</f>
        <v/>
      </c>
      <c r="D21" s="12">
        <f>IF(COUNTIF(D2:D18,"&lt;0"),AVERAGEIF(D2:D18,"&lt;0"),"—")</f>
        <v/>
      </c>
      <c r="E21" s="11">
        <f>IF(COUNTIF(E2:E18,"&lt;0"),AVERAGEIF(E2:E18,"&lt;0"),"—")</f>
        <v/>
      </c>
      <c r="F21" s="11">
        <f>IF(COUNTIF(F2:F18,"&lt;0"),AVERAGEIF(F2:F18,"&lt;0"),"—")</f>
        <v/>
      </c>
      <c r="G21" s="11">
        <f>IF(COUNTIF(G2:G18,"&lt;0"),AVERAGEIF(G2:G18,"&lt;0"),"—")</f>
        <v/>
      </c>
      <c r="H21" s="11">
        <f>IF(COUNTIF(H2:H18,"&lt;0"),AVERAGEIF(H2:H18,"&lt;0"),"—")</f>
        <v/>
      </c>
      <c r="I21" s="11">
        <f>IF(COUNTIF(I2:I18,"&lt;0"),AVERAGEIF(I2:I18,"&lt;0"),"—")</f>
        <v/>
      </c>
      <c r="J21" s="11">
        <f>IF(COUNTIF(J2:J18,"&lt;0"),AVERAGEIF(J2:J18,"&lt;0"),"—")</f>
        <v/>
      </c>
      <c r="K21" s="11">
        <f>IF(COUNTIF(K2:K18,"&lt;0"),AVERAGEIF(K2:K18,"&lt;0"),"—")</f>
        <v/>
      </c>
      <c r="L21" s="11">
        <f>IF(COUNTIF(L2:L18,"&lt;0"),AVERAGEIF(L2:L18,"&lt;0"),"—")</f>
        <v/>
      </c>
      <c r="M21" s="13">
        <f>IF(COUNTIF(M2:M18,"&lt;0"),AVERAGEIF(M2:M18,"&lt;0"),"—")</f>
        <v/>
      </c>
      <c r="N21" s="11">
        <f>IF(COUNTIF(N2:N18,"&lt;0"),AVERAGEIF(N2:N18,"&lt;0"),"—")</f>
        <v/>
      </c>
      <c r="O21" s="11">
        <f>IF(COUNTIF(O2:O18,"&lt;0"),AVERAGEIF(O2:O18,"&lt;0"),"—")</f>
        <v/>
      </c>
      <c r="P21" s="11">
        <f>IF(COUNTIF(P2:P18,"&lt;0"),AVERAGEIF(P2:P18,"&lt;0"),"—")</f>
        <v/>
      </c>
      <c r="Q21" s="11">
        <f>IF(COUNTIF(Q2:Q18,"&lt;0"),AVERAGEIF(Q2:Q18,"&lt;0"),"—")</f>
        <v/>
      </c>
      <c r="R21" s="11">
        <f>IF(COUNTIF(R2:R18,"&lt;0"),AVERAGEIF(R2:R18,"&lt;0"),"—")</f>
        <v/>
      </c>
      <c r="S21" s="11">
        <f>IF(COUNTIF(S2:S18,"&lt;0"),AVERAGEIF(S2:S18,"&lt;0"),"—")</f>
        <v/>
      </c>
      <c r="T21" s="11">
        <f>IF(COUNTIF(T2:T18,"&lt;0"),AVERAGEIF(T2:T18,"&lt;0"),"—")</f>
        <v/>
      </c>
      <c r="U21" s="11">
        <f>IF(COUNTIF(U2:U18,"&lt;0"),AVERAGEIF(U2:U18,"&lt;0"),"—")</f>
        <v/>
      </c>
      <c r="V21" s="11">
        <f>IF(COUNTIF(V2:V18,"&lt;0"),AVERAGEIF(V2:V18,"&lt;0"),"—")</f>
        <v/>
      </c>
      <c r="W21" s="11">
        <f>IF(COUNTIF(W2:W18,"&lt;0"),AVERAGEIF(W2:W18,"&lt;0"),"—")</f>
        <v/>
      </c>
      <c r="X21" s="11">
        <f>IF(COUNTIF(X2:X18,"&lt;0"),AVERAGEIF(X2:X18,"&lt;0"),"—")</f>
        <v/>
      </c>
      <c r="Y21" s="11">
        <f>IF(COUNTIF(Y2:Y18,"&lt;0"),AVERAGEIF(Y2:Y18,"&lt;0"),"—")</f>
        <v/>
      </c>
      <c r="Z21" s="11">
        <f>IF(COUNTIF(Z2:Z18,"&lt;0"),AVERAGEIF(Z2:Z18,"&lt;0"),"—")</f>
        <v/>
      </c>
      <c r="AA21" s="11">
        <f>IF(COUNTIF(AA2:AA18,"&lt;0"),AVERAGEIF(AA2:AA18,"&lt;0"),"—")</f>
        <v/>
      </c>
      <c r="AB21" s="13">
        <f>IF(COUNTIF(AB2:AB18,"&lt;0"),AVERAGEIF(AB2:AB18,"&lt;0"),"—")</f>
        <v/>
      </c>
      <c r="AC21" s="11">
        <f>IF(COUNTIF(AC2:AC18,"&lt;0"),AVERAGEIF(AC2:AC18,"&lt;0"),"—")</f>
        <v/>
      </c>
      <c r="AD21" s="11">
        <f>IF(COUNTIF(AD2:AD18,"&lt;0"),AVERAGEIF(AD2:AD18,"&lt;0"),"—")</f>
        <v/>
      </c>
      <c r="AE21" s="11">
        <f>IF(COUNTIF(AE2:AE18,"&lt;0"),AVERAGEIF(AE2:AE18,"&lt;0"),"—")</f>
        <v/>
      </c>
    </row>
    <row r="22">
      <c r="A22" s="10" t="inlineStr">
        <is>
          <t>1 Av</t>
        </is>
      </c>
      <c r="B22" s="11">
        <f>IF(COUNTA(B2:B18),AVERAGE(B2:B18),"—")</f>
        <v/>
      </c>
      <c r="C22" s="11">
        <f>IF(COUNTA(C2:C18),AVERAGE(C2:C18),"—")</f>
        <v/>
      </c>
      <c r="D22" s="12">
        <f>IF(COUNTA(D2:D18),AVERAGE(D2:D18),"—")</f>
        <v/>
      </c>
      <c r="E22" s="11">
        <f>IF(COUNTA(E2:E18),AVERAGE(E2:E18),"—")</f>
        <v/>
      </c>
      <c r="F22" s="11">
        <f>IF(COUNTA(F2:F18),AVERAGE(F2:F18),"—")</f>
        <v/>
      </c>
      <c r="G22" s="11">
        <f>IF(COUNTA(G2:G18),AVERAGE(G2:G18),"—")</f>
        <v/>
      </c>
      <c r="H22" s="11">
        <f>IF(COUNTA(H2:H18),AVERAGE(H2:H18),"—")</f>
        <v/>
      </c>
      <c r="I22" s="11">
        <f>IF(COUNTA(I2:I18),AVERAGE(I2:I18),"—")</f>
        <v/>
      </c>
      <c r="J22" s="11">
        <f>IF(COUNTA(J2:J18),AVERAGE(J2:J18),"—")</f>
        <v/>
      </c>
      <c r="K22" s="11">
        <f>IF(COUNTA(K2:K18),AVERAGE(K2:K18),"—")</f>
        <v/>
      </c>
      <c r="L22" s="11">
        <f>IF(COUNTA(L2:L18),AVERAGE(L2:L18),"—")</f>
        <v/>
      </c>
      <c r="M22" s="13">
        <f>IF(COUNTA(M2:M18),AVERAGE(M2:M18),"—")</f>
        <v/>
      </c>
      <c r="N22" s="11">
        <f>IF(COUNTA(N2:N18),AVERAGE(N2:N18),"—")</f>
        <v/>
      </c>
      <c r="O22" s="11">
        <f>IF(COUNTA(O2:O18),AVERAGE(O2:O18),"—")</f>
        <v/>
      </c>
      <c r="P22" s="11">
        <f>IF(COUNTA(P2:P18),AVERAGE(P2:P18),"—")</f>
        <v/>
      </c>
      <c r="Q22" s="11">
        <f>IF(COUNTA(Q2:Q18),AVERAGE(Q2:Q18),"—")</f>
        <v/>
      </c>
      <c r="R22" s="11">
        <f>IF(COUNTA(R2:R18),AVERAGE(R2:R18),"—")</f>
        <v/>
      </c>
      <c r="S22" s="11">
        <f>IF(COUNTA(S2:S18),AVERAGE(S2:S18),"—")</f>
        <v/>
      </c>
      <c r="T22" s="11">
        <f>IF(COUNTA(T2:T18),AVERAGE(T2:T18),"—")</f>
        <v/>
      </c>
      <c r="U22" s="11">
        <f>IF(COUNTA(U2:U18),AVERAGE(U2:U18),"—")</f>
        <v/>
      </c>
      <c r="V22" s="11">
        <f>IF(COUNTA(V2:V18),AVERAGE(V2:V18),"—")</f>
        <v/>
      </c>
      <c r="W22" s="11">
        <f>IF(COUNTA(W2:W18),AVERAGE(W2:W18),"—")</f>
        <v/>
      </c>
      <c r="X22" s="11">
        <f>IF(COUNTA(X2:X18),AVERAGE(X2:X18),"—")</f>
        <v/>
      </c>
      <c r="Y22" s="11">
        <f>IF(COUNTA(Y2:Y18),AVERAGE(Y2:Y18),"—")</f>
        <v/>
      </c>
      <c r="Z22" s="11">
        <f>IF(COUNTA(Z2:Z18),AVERAGE(Z2:Z18),"—")</f>
        <v/>
      </c>
      <c r="AA22" s="11">
        <f>IF(COUNTA(AA2:AA18),AVERAGE(AA2:AA18),"—")</f>
        <v/>
      </c>
      <c r="AB22" s="13">
        <f>IF(COUNTA(AB2:AB18),AVERAGE(AB2:AB18),"—")</f>
        <v/>
      </c>
      <c r="AC22" s="11">
        <f>IF(COUNTA(AC2:AC18),AVERAGE(AC2:AC18),"—")</f>
        <v/>
      </c>
      <c r="AD22" s="11">
        <f>IF(COUNTA(AD2:AD18),AVERAGE(AD2:AD18),"—")</f>
        <v/>
      </c>
      <c r="AE22" s="11">
        <f>IF(COUNTA(AE2:AE18),AVERAGE(AE2:AE18),"—")</f>
        <v/>
      </c>
    </row>
    <row r="23">
      <c r="A23" s="10" t="inlineStr">
        <is>
          <t>Spread</t>
        </is>
      </c>
      <c r="B23" s="11">
        <f>IF(AND(ISNUMBER(B20),ISNUMBER(B21)),B20-B21,"—")</f>
        <v/>
      </c>
      <c r="C23" s="11">
        <f>IF(AND(ISNUMBER(C20),ISNUMBER(C21)),C20-C21,"—")</f>
        <v/>
      </c>
      <c r="D23" s="12">
        <f>IF(AND(ISNUMBER(D20),ISNUMBER(D21)),D20-D21,"—")</f>
        <v/>
      </c>
      <c r="E23" s="11">
        <f>IF(AND(ISNUMBER(E20),ISNUMBER(E21)),E20-E21,"—")</f>
        <v/>
      </c>
      <c r="F23" s="11">
        <f>IF(AND(ISNUMBER(F20),ISNUMBER(F21)),F20-F21,"—")</f>
        <v/>
      </c>
      <c r="G23" s="11">
        <f>IF(AND(ISNUMBER(G20),ISNUMBER(G21)),G20-G21,"—")</f>
        <v/>
      </c>
      <c r="H23" s="11">
        <f>IF(AND(ISNUMBER(H20),ISNUMBER(H21)),H20-H21,"—")</f>
        <v/>
      </c>
      <c r="I23" s="11">
        <f>IF(AND(ISNUMBER(I20),ISNUMBER(I21)),I20-I21,"—")</f>
        <v/>
      </c>
      <c r="J23" s="11">
        <f>IF(AND(ISNUMBER(J20),ISNUMBER(J21)),J20-J21,"—")</f>
        <v/>
      </c>
      <c r="K23" s="11">
        <f>IF(AND(ISNUMBER(K20),ISNUMBER(K21)),K20-K21,"—")</f>
        <v/>
      </c>
      <c r="L23" s="11">
        <f>IF(AND(ISNUMBER(L20),ISNUMBER(L21)),L20-L21,"—")</f>
        <v/>
      </c>
      <c r="M23" s="13">
        <f>IF(AND(ISNUMBER(M20),ISNUMBER(M21)),M20-M21,"—")</f>
        <v/>
      </c>
      <c r="N23" s="11">
        <f>IF(AND(ISNUMBER(N20),ISNUMBER(N21)),N20-N21,"—")</f>
        <v/>
      </c>
      <c r="O23" s="11">
        <f>IF(AND(ISNUMBER(O20),ISNUMBER(O21)),O20-O21,"—")</f>
        <v/>
      </c>
      <c r="P23" s="11">
        <f>IF(AND(ISNUMBER(P20),ISNUMBER(P21)),P20-P21,"—")</f>
        <v/>
      </c>
      <c r="Q23" s="11">
        <f>IF(AND(ISNUMBER(Q20),ISNUMBER(Q21)),Q20-Q21,"—")</f>
        <v/>
      </c>
      <c r="R23" s="11">
        <f>IF(AND(ISNUMBER(R20),ISNUMBER(R21)),R20-R21,"—")</f>
        <v/>
      </c>
      <c r="S23" s="11">
        <f>IF(AND(ISNUMBER(S20),ISNUMBER(S21)),S20-S21,"—")</f>
        <v/>
      </c>
      <c r="T23" s="11">
        <f>IF(AND(ISNUMBER(T20),ISNUMBER(T21)),T20-T21,"—")</f>
        <v/>
      </c>
      <c r="U23" s="11">
        <f>IF(AND(ISNUMBER(U20),ISNUMBER(U21)),U20-U21,"—")</f>
        <v/>
      </c>
      <c r="V23" s="11">
        <f>IF(AND(ISNUMBER(V20),ISNUMBER(V21)),V20-V21,"—")</f>
        <v/>
      </c>
      <c r="W23" s="11">
        <f>IF(AND(ISNUMBER(W20),ISNUMBER(W21)),W20-W21,"—")</f>
        <v/>
      </c>
      <c r="X23" s="11">
        <f>IF(AND(ISNUMBER(X20),ISNUMBER(X21)),X20-X21,"—")</f>
        <v/>
      </c>
      <c r="Y23" s="11">
        <f>IF(AND(ISNUMBER(Y20),ISNUMBER(Y21)),Y20-Y21,"—")</f>
        <v/>
      </c>
      <c r="Z23" s="11">
        <f>IF(AND(ISNUMBER(Z20),ISNUMBER(Z21)),Z20-Z21,"—")</f>
        <v/>
      </c>
      <c r="AA23" s="11">
        <f>IF(AND(ISNUMBER(AA20),ISNUMBER(AA21)),AA20-AA21,"—")</f>
        <v/>
      </c>
      <c r="AB23" s="13">
        <f>IF(AND(ISNUMBER(AB20),ISNUMBER(AB21)),AB20-AB21,"—")</f>
        <v/>
      </c>
      <c r="AC23" s="11">
        <f>IF(AND(ISNUMBER(AC20),ISNUMBER(AC21)),AC20-AC21,"—")</f>
        <v/>
      </c>
      <c r="AD23" s="11">
        <f>IF(AND(ISNUMBER(AD20),ISNUMBER(AD21)),AD20-AD21,"—")</f>
        <v/>
      </c>
      <c r="AE23" s="11">
        <f>IF(AND(ISNUMBER(AE20),ISNUMBER(AE21)),AE20-AE21,"—")</f>
        <v/>
      </c>
    </row>
    <row r="24">
      <c r="A24" s="10" t="inlineStr">
        <is>
          <t>% Pos</t>
        </is>
      </c>
      <c r="B24" s="14">
        <f>IF(COUNTA(B2:B18),COUNTIF(B2:B18,"&gt;0")/COUNTA(B2:B18),"—")</f>
        <v/>
      </c>
      <c r="C24" s="14">
        <f>IF(COUNTA(C2:C18),COUNTIF(C2:C18,"&gt;0")/COUNTA(C2:C18),"—")</f>
        <v/>
      </c>
      <c r="D24" s="14">
        <f>IF(COUNTA(D2:D18),COUNTIF(D2:D18,"&gt;0")/COUNTA(D2:D18),"—")</f>
        <v/>
      </c>
      <c r="E24" s="14">
        <f>IF(COUNTA(E2:E18),COUNTIF(E2:E18,"&gt;0")/COUNTA(E2:E18),"—")</f>
        <v/>
      </c>
      <c r="F24" s="14">
        <f>IF(COUNTA(F2:F18),COUNTIF(F2:F18,"&gt;0")/COUNTA(F2:F18),"—")</f>
        <v/>
      </c>
      <c r="G24" s="14">
        <f>IF(COUNTA(G2:G18),COUNTIF(G2:G18,"&gt;0")/COUNTA(G2:G18),"—")</f>
        <v/>
      </c>
      <c r="H24" s="14">
        <f>IF(COUNTA(H2:H18),COUNTIF(H2:H18,"&gt;0")/COUNTA(H2:H18),"—")</f>
        <v/>
      </c>
      <c r="I24" s="14">
        <f>IF(COUNTA(I2:I18),COUNTIF(I2:I18,"&gt;0")/COUNTA(I2:I18),"—")</f>
        <v/>
      </c>
      <c r="J24" s="14">
        <f>IF(COUNTA(J2:J18),COUNTIF(J2:J18,"&gt;0")/COUNTA(J2:J18),"—")</f>
        <v/>
      </c>
      <c r="K24" s="14">
        <f>IF(COUNTA(K2:K18),COUNTIF(K2:K18,"&gt;0")/COUNTA(K2:K18),"—")</f>
        <v/>
      </c>
      <c r="L24" s="14">
        <f>IF(COUNTA(L2:L18),COUNTIF(L2:L18,"&gt;0")/COUNTA(L2:L18),"—")</f>
        <v/>
      </c>
      <c r="M24" s="14">
        <f>IF(COUNTA(M2:M18),COUNTIF(M2:M18,"&gt;0")/COUNTA(M2:M18),"—")</f>
        <v/>
      </c>
      <c r="N24" s="14">
        <f>IF(COUNTA(N2:N18),COUNTIF(N2:N18,"&gt;0")/COUNTA(N2:N18),"—")</f>
        <v/>
      </c>
      <c r="O24" s="14">
        <f>IF(COUNTA(O2:O18),COUNTIF(O2:O18,"&gt;0")/COUNTA(O2:O18),"—")</f>
        <v/>
      </c>
      <c r="P24" s="14">
        <f>IF(COUNTA(P2:P18),COUNTIF(P2:P18,"&gt;0")/COUNTA(P2:P18),"—")</f>
        <v/>
      </c>
      <c r="Q24" s="14">
        <f>IF(COUNTA(Q2:Q18),COUNTIF(Q2:Q18,"&gt;0")/COUNTA(Q2:Q18),"—")</f>
        <v/>
      </c>
      <c r="R24" s="14">
        <f>IF(COUNTA(R2:R18),COUNTIF(R2:R18,"&gt;0")/COUNTA(R2:R18),"—")</f>
        <v/>
      </c>
      <c r="S24" s="14">
        <f>IF(COUNTA(S2:S18),COUNTIF(S2:S18,"&gt;0")/COUNTA(S2:S18),"—")</f>
        <v/>
      </c>
      <c r="T24" s="14">
        <f>IF(COUNTA(T2:T18),COUNTIF(T2:T18,"&gt;0")/COUNTA(T2:T18),"—")</f>
        <v/>
      </c>
      <c r="U24" s="14">
        <f>IF(COUNTA(U2:U18),COUNTIF(U2:U18,"&gt;0")/COUNTA(U2:U18),"—")</f>
        <v/>
      </c>
      <c r="V24" s="14">
        <f>IF(COUNTA(V2:V18),COUNTIF(V2:V18,"&gt;0")/COUNTA(V2:V18),"—")</f>
        <v/>
      </c>
      <c r="W24" s="14">
        <f>IF(COUNTA(W2:W18),COUNTIF(W2:W18,"&gt;0")/COUNTA(W2:W18),"—")</f>
        <v/>
      </c>
      <c r="X24" s="14">
        <f>IF(COUNTA(X2:X18),COUNTIF(X2:X18,"&gt;0")/COUNTA(X2:X18),"—")</f>
        <v/>
      </c>
      <c r="Y24" s="14">
        <f>IF(COUNTA(Y2:Y18),COUNTIF(Y2:Y18,"&gt;0")/COUNTA(Y2:Y18),"—")</f>
        <v/>
      </c>
      <c r="Z24" s="14">
        <f>IF(COUNTA(Z2:Z18),COUNTIF(Z2:Z18,"&gt;0")/COUNTA(Z2:Z18),"—")</f>
        <v/>
      </c>
      <c r="AA24" s="14">
        <f>IF(COUNTA(AA2:AA18),COUNTIF(AA2:AA18,"&gt;0")/COUNTA(AA2:AA18),"—")</f>
        <v/>
      </c>
      <c r="AB24" s="14">
        <f>IF(COUNTA(AB2:AB18),COUNTIF(AB2:AB18,"&gt;0")/COUNTA(AB2:AB18),"—")</f>
        <v/>
      </c>
      <c r="AC24" s="14">
        <f>IF(COUNTA(AC2:AC18),COUNTIF(AC2:AC18,"&gt;0")/COUNTA(AC2:AC18),"—")</f>
        <v/>
      </c>
      <c r="AD24" s="14">
        <f>IF(COUNTA(AD2:AD18),COUNTIF(AD2:AD18,"&gt;0")/COUNTA(AD2:AD18),"—")</f>
        <v/>
      </c>
      <c r="AE24" s="14">
        <f>IF(COUNTA(AE2:AE18),COUNTIF(AE2:AE18,"&gt;0")/COUNTA(AE2:AE18),"—")</f>
        <v/>
      </c>
    </row>
    <row r="25">
      <c r="A25" s="10" t="inlineStr">
        <is>
          <t>% Neg</t>
        </is>
      </c>
      <c r="B25" s="14">
        <f>IF(COUNTA(B2:B18),COUNTIF(B2:B18,"&lt;0")/COUNTA(B2:B18),"—")</f>
        <v/>
      </c>
      <c r="C25" s="14">
        <f>IF(COUNTA(C2:C18),COUNTIF(C2:C18,"&lt;0")/COUNTA(C2:C18),"—")</f>
        <v/>
      </c>
      <c r="D25" s="14">
        <f>IF(COUNTA(D2:D18),COUNTIF(D2:D18,"&lt;0")/COUNTA(D2:D18),"—")</f>
        <v/>
      </c>
      <c r="E25" s="14">
        <f>IF(COUNTA(E2:E18),COUNTIF(E2:E18,"&lt;0")/COUNTA(E2:E18),"—")</f>
        <v/>
      </c>
      <c r="F25" s="14">
        <f>IF(COUNTA(F2:F18),COUNTIF(F2:F18,"&lt;0")/COUNTA(F2:F18),"—")</f>
        <v/>
      </c>
      <c r="G25" s="14">
        <f>IF(COUNTA(G2:G18),COUNTIF(G2:G18,"&lt;0")/COUNTA(G2:G18),"—")</f>
        <v/>
      </c>
      <c r="H25" s="14">
        <f>IF(COUNTA(H2:H18),COUNTIF(H2:H18,"&lt;0")/COUNTA(H2:H18),"—")</f>
        <v/>
      </c>
      <c r="I25" s="14">
        <f>IF(COUNTA(I2:I18),COUNTIF(I2:I18,"&lt;0")/COUNTA(I2:I18),"—")</f>
        <v/>
      </c>
      <c r="J25" s="14">
        <f>IF(COUNTA(J2:J18),COUNTIF(J2:J18,"&lt;0")/COUNTA(J2:J18),"—")</f>
        <v/>
      </c>
      <c r="K25" s="14">
        <f>IF(COUNTA(K2:K18),COUNTIF(K2:K18,"&lt;0")/COUNTA(K2:K18),"—")</f>
        <v/>
      </c>
      <c r="L25" s="14">
        <f>IF(COUNTA(L2:L18),COUNTIF(L2:L18,"&lt;0")/COUNTA(L2:L18),"—")</f>
        <v/>
      </c>
      <c r="M25" s="14">
        <f>IF(COUNTA(M2:M18),COUNTIF(M2:M18,"&lt;0")/COUNTA(M2:M18),"—")</f>
        <v/>
      </c>
      <c r="N25" s="14">
        <f>IF(COUNTA(N2:N18),COUNTIF(N2:N18,"&lt;0")/COUNTA(N2:N18),"—")</f>
        <v/>
      </c>
      <c r="O25" s="14">
        <f>IF(COUNTA(O2:O18),COUNTIF(O2:O18,"&lt;0")/COUNTA(O2:O18),"—")</f>
        <v/>
      </c>
      <c r="P25" s="14">
        <f>IF(COUNTA(P2:P18),COUNTIF(P2:P18,"&lt;0")/COUNTA(P2:P18),"—")</f>
        <v/>
      </c>
      <c r="Q25" s="14">
        <f>IF(COUNTA(Q2:Q18),COUNTIF(Q2:Q18,"&lt;0")/COUNTA(Q2:Q18),"—")</f>
        <v/>
      </c>
      <c r="R25" s="14">
        <f>IF(COUNTA(R2:R18),COUNTIF(R2:R18,"&lt;0")/COUNTA(R2:R18),"—")</f>
        <v/>
      </c>
      <c r="S25" s="14">
        <f>IF(COUNTA(S2:S18),COUNTIF(S2:S18,"&lt;0")/COUNTA(S2:S18),"—")</f>
        <v/>
      </c>
      <c r="T25" s="14">
        <f>IF(COUNTA(T2:T18),COUNTIF(T2:T18,"&lt;0")/COUNTA(T2:T18),"—")</f>
        <v/>
      </c>
      <c r="U25" s="14">
        <f>IF(COUNTA(U2:U18),COUNTIF(U2:U18,"&lt;0")/COUNTA(U2:U18),"—")</f>
        <v/>
      </c>
      <c r="V25" s="14">
        <f>IF(COUNTA(V2:V18),COUNTIF(V2:V18,"&lt;0")/COUNTA(V2:V18),"—")</f>
        <v/>
      </c>
      <c r="W25" s="14">
        <f>IF(COUNTA(W2:W18),COUNTIF(W2:W18,"&lt;0")/COUNTA(W2:W18),"—")</f>
        <v/>
      </c>
      <c r="X25" s="14">
        <f>IF(COUNTA(X2:X18),COUNTIF(X2:X18,"&lt;0")/COUNTA(X2:X18),"—")</f>
        <v/>
      </c>
      <c r="Y25" s="14">
        <f>IF(COUNTA(Y2:Y18),COUNTIF(Y2:Y18,"&lt;0")/COUNTA(Y2:Y18),"—")</f>
        <v/>
      </c>
      <c r="Z25" s="14">
        <f>IF(COUNTA(Z2:Z18),COUNTIF(Z2:Z18,"&lt;0")/COUNTA(Z2:Z18),"—")</f>
        <v/>
      </c>
      <c r="AA25" s="14">
        <f>IF(COUNTA(AA2:AA18),COUNTIF(AA2:AA18,"&lt;0")/COUNTA(AA2:AA18),"—")</f>
        <v/>
      </c>
      <c r="AB25" s="14">
        <f>IF(COUNTA(AB2:AB18),COUNTIF(AB2:AB18,"&lt;0")/COUNTA(AB2:AB18),"—")</f>
        <v/>
      </c>
      <c r="AC25" s="14">
        <f>IF(COUNTA(AC2:AC18),COUNTIF(AC2:AC18,"&lt;0")/COUNTA(AC2:AC18),"—")</f>
        <v/>
      </c>
      <c r="AD25" s="14">
        <f>IF(COUNTA(AD2:AD18),COUNTIF(AD2:AD18,"&lt;0")/COUNTA(AD2:AD18),"—")</f>
        <v/>
      </c>
      <c r="AE25" s="14">
        <f>IF(COUNTA(AE2:AE18),COUNTIF(AE2:AE18,"&lt;0")/COUNTA(AE2:AE18),"—")</f>
        <v/>
      </c>
    </row>
    <row r="27">
      <c r="A27" s="10" t="inlineStr">
        <is>
          <t>Best Swings</t>
        </is>
      </c>
    </row>
    <row r="28">
      <c r="A28" s="7" t="n">
        <v>1772027996000000</v>
      </c>
      <c r="B28" s="7" t="n">
        <v>90.69</v>
      </c>
      <c r="C28" s="7" t="n">
        <v>131.88</v>
      </c>
      <c r="D28" s="8" t="n">
        <v>1.45</v>
      </c>
      <c r="E28" s="7" t="n">
        <v>212.68</v>
      </c>
      <c r="F28" s="7" t="n">
        <v>246.08</v>
      </c>
      <c r="G28" s="7" t="n">
        <v>5.4</v>
      </c>
      <c r="H28" s="7" t="n">
        <v>5.01</v>
      </c>
      <c r="I28" s="7" t="n">
        <v>2.6</v>
      </c>
      <c r="J28" s="7" t="n">
        <v>1.53</v>
      </c>
      <c r="K28" s="7" t="n">
        <v>-1.06</v>
      </c>
      <c r="L28" s="7" t="n">
        <v>1.67</v>
      </c>
      <c r="M28" s="9" t="n">
        <v>2.6</v>
      </c>
      <c r="N28" s="7" t="n">
        <v>16.14</v>
      </c>
      <c r="O28" s="7" t="n">
        <v>14.56</v>
      </c>
      <c r="P28" s="7" t="n">
        <v>13.52</v>
      </c>
      <c r="Q28" s="7" t="n">
        <v>2081</v>
      </c>
      <c r="R28" s="7" t="n">
        <v>-7.16</v>
      </c>
      <c r="S28" s="7" t="n">
        <v>-23.46</v>
      </c>
      <c r="T28" s="7" t="n">
        <v>-4.9</v>
      </c>
      <c r="U28" s="7" t="n">
        <v>-9.77</v>
      </c>
      <c r="V28" s="7" t="n">
        <v>67.31999999999999</v>
      </c>
      <c r="W28" s="7" t="n">
        <v>30.22</v>
      </c>
      <c r="X28" s="7" t="n">
        <v>4.41</v>
      </c>
      <c r="Y28" s="7" t="n">
        <v>49.62</v>
      </c>
      <c r="Z28" s="7" t="n">
        <v>1.33</v>
      </c>
      <c r="AA28" s="7" t="n">
        <v>-4.42</v>
      </c>
      <c r="AB28" s="9" t="n">
        <v>-4.41</v>
      </c>
      <c r="AC28" s="7" t="n">
        <v/>
      </c>
      <c r="AD28" s="7" t="n">
        <v>5.34</v>
      </c>
      <c r="AE28" s="7" t="n">
        <v>53.88</v>
      </c>
    </row>
    <row r="29">
      <c r="A29" s="15" t="n">
        <v>1772028925000000</v>
      </c>
      <c r="B29" s="15" t="n">
        <v>91.7</v>
      </c>
      <c r="C29" s="15" t="n">
        <v>135.09</v>
      </c>
      <c r="D29" s="16" t="n">
        <v>1.47</v>
      </c>
      <c r="E29" s="15" t="n">
        <v>216.43</v>
      </c>
      <c r="F29" s="15" t="n">
        <v>248.67</v>
      </c>
      <c r="G29" s="15" t="n">
        <v>2.29</v>
      </c>
      <c r="H29" s="15" t="n">
        <v>-2.45</v>
      </c>
      <c r="I29" s="15" t="n">
        <v>0.4</v>
      </c>
      <c r="J29" s="15" t="n">
        <v>0.87</v>
      </c>
      <c r="K29" s="15" t="n">
        <v>0.47</v>
      </c>
      <c r="L29" s="15" t="n">
        <v>0.8100000000000001</v>
      </c>
      <c r="M29" s="17" t="n">
        <v>0.2</v>
      </c>
      <c r="N29" s="15" t="n">
        <v>14.28</v>
      </c>
      <c r="O29" s="15" t="n">
        <v>12.39</v>
      </c>
      <c r="P29" s="15" t="n">
        <v>14.08</v>
      </c>
      <c r="Q29" s="15" t="n">
        <v>2536.13</v>
      </c>
      <c r="R29" s="15" t="n">
        <v>2.87</v>
      </c>
      <c r="S29" s="15" t="n">
        <v>11.11</v>
      </c>
      <c r="T29" s="15" t="n">
        <v>20.27</v>
      </c>
      <c r="U29" s="15" t="n">
        <v>25.22</v>
      </c>
      <c r="V29" s="15" t="n">
        <v>64.41</v>
      </c>
      <c r="W29" s="15" t="n">
        <v>30.06</v>
      </c>
      <c r="X29" s="15" t="n">
        <v>0.13</v>
      </c>
      <c r="Y29" s="15" t="n">
        <v>45</v>
      </c>
      <c r="Z29" s="15" t="n">
        <v>1.39</v>
      </c>
      <c r="AA29" s="15" t="n">
        <v>1.84</v>
      </c>
      <c r="AB29" s="17" t="n">
        <v>-1.34</v>
      </c>
      <c r="AC29" s="15" t="n">
        <v/>
      </c>
      <c r="AD29" s="15" t="n">
        <v>5.48</v>
      </c>
      <c r="AE29" s="15" t="n">
        <v>56.43</v>
      </c>
    </row>
    <row r="30">
      <c r="A30" s="7" t="n">
        <v>1772029055000000</v>
      </c>
      <c r="B30" s="7" t="n">
        <v>91.79000000000001</v>
      </c>
      <c r="C30" s="7" t="n">
        <v>133.84</v>
      </c>
      <c r="D30" s="8" t="n">
        <v>1.46</v>
      </c>
      <c r="E30" s="7" t="n">
        <v>213.41</v>
      </c>
      <c r="F30" s="7" t="n">
        <v>234.97</v>
      </c>
      <c r="G30" s="7" t="n">
        <v>-8.26</v>
      </c>
      <c r="H30" s="7" t="n">
        <v>-4.4</v>
      </c>
      <c r="I30" s="7" t="n">
        <v>0.8</v>
      </c>
      <c r="J30" s="7" t="n">
        <v>1.82</v>
      </c>
      <c r="K30" s="7" t="n">
        <v>1.02</v>
      </c>
      <c r="L30" s="7" t="n">
        <v>1.65</v>
      </c>
      <c r="M30" s="9" t="n">
        <v>0.6</v>
      </c>
      <c r="N30" s="7" t="n">
        <v>15.17</v>
      </c>
      <c r="O30" s="7" t="n">
        <v>12.58</v>
      </c>
      <c r="P30" s="7" t="n">
        <v>14.66</v>
      </c>
      <c r="Q30" s="7" t="n">
        <v>3447.29</v>
      </c>
      <c r="R30" s="7" t="n">
        <v>4.04</v>
      </c>
      <c r="S30" s="7" t="n">
        <v>19.38</v>
      </c>
      <c r="T30" s="7" t="n">
        <v>37.79</v>
      </c>
      <c r="U30" s="7" t="n">
        <v>44.02</v>
      </c>
      <c r="V30" s="7" t="n">
        <v>77.28</v>
      </c>
      <c r="W30" s="7" t="n">
        <v>36.36</v>
      </c>
      <c r="X30" s="7" t="n">
        <v>0.93</v>
      </c>
      <c r="Y30" s="7" t="n">
        <v>45.06</v>
      </c>
      <c r="Z30" s="7" t="n">
        <v>1.34</v>
      </c>
      <c r="AA30" s="7" t="n">
        <v>3.5</v>
      </c>
      <c r="AB30" s="9" t="n">
        <v>-1.77</v>
      </c>
      <c r="AC30" s="7" t="n">
        <v/>
      </c>
      <c r="AD30" s="7" t="n">
        <v>5.98</v>
      </c>
      <c r="AE30" s="7" t="n">
        <v>52.6</v>
      </c>
    </row>
  </sheetData>
  <autoFilter ref="A1:A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46078.5966087963</v>
      </c>
      <c r="B2" s="3" t="n">
        <v>76.39</v>
      </c>
      <c r="C2" s="3" t="n">
        <v>102.03</v>
      </c>
      <c r="D2" s="4" t="n">
        <v>1.34</v>
      </c>
      <c r="E2" s="3" t="n">
        <v>144.78</v>
      </c>
      <c r="F2" s="3" t="n">
        <v>151.69</v>
      </c>
      <c r="G2" s="3" t="n">
        <v>3.17</v>
      </c>
      <c r="H2" s="3" t="n">
        <v>-2.59</v>
      </c>
      <c r="I2" s="3" t="n">
        <v>2.2</v>
      </c>
      <c r="J2" s="3" t="n">
        <v>3.56</v>
      </c>
      <c r="K2" s="3" t="n">
        <v>1.36</v>
      </c>
      <c r="L2" s="3" t="n">
        <v>3.3</v>
      </c>
      <c r="M2" s="5" t="n">
        <v>-2</v>
      </c>
      <c r="N2" s="3" t="n">
        <v>27.32</v>
      </c>
      <c r="O2" s="3" t="n">
        <v>22.17</v>
      </c>
      <c r="P2" s="3" t="n">
        <v>29.34</v>
      </c>
      <c r="Q2" s="3" t="n">
        <v>5208.79</v>
      </c>
      <c r="R2" s="3" t="n">
        <v>2.14</v>
      </c>
      <c r="S2" s="3" t="n">
        <v>6.8</v>
      </c>
      <c r="T2" s="3" t="n">
        <v>31.82</v>
      </c>
      <c r="U2" s="3" t="n">
        <v>34.01</v>
      </c>
      <c r="V2" s="3" t="n">
        <v>81.62</v>
      </c>
      <c r="W2" s="3" t="n">
        <v>45.15</v>
      </c>
      <c r="X2" s="3" t="n">
        <v>1.25</v>
      </c>
      <c r="Y2" s="3" t="n">
        <v>64.15000000000001</v>
      </c>
      <c r="Z2" s="3" t="n">
        <v>1.21</v>
      </c>
      <c r="AA2" s="3" t="n">
        <v>2.33</v>
      </c>
      <c r="AB2" s="5" t="n">
        <v>1.77</v>
      </c>
      <c r="AC2" s="3" t="n">
        <v/>
      </c>
      <c r="AD2" s="3" t="n">
        <v>5.52</v>
      </c>
      <c r="AE2" s="3" t="n">
        <v>66.45999999999999</v>
      </c>
    </row>
    <row r="3">
      <c r="A3" s="6" t="n">
        <v>46078.59697916666</v>
      </c>
      <c r="B3" s="7" t="n">
        <v>78.19</v>
      </c>
      <c r="C3" s="7" t="n">
        <v>98.92</v>
      </c>
      <c r="D3" s="8" t="n">
        <v>1.27</v>
      </c>
      <c r="E3" s="7" t="n">
        <v>140.83</v>
      </c>
      <c r="F3" s="7" t="n">
        <v>151.42</v>
      </c>
      <c r="G3" s="7" t="n">
        <v>2.72</v>
      </c>
      <c r="H3" s="7" t="n">
        <v>-15.64</v>
      </c>
      <c r="I3" s="7" t="n">
        <v>0.8</v>
      </c>
      <c r="J3" s="7" t="n">
        <v>-0.14</v>
      </c>
      <c r="K3" s="7" t="n">
        <v>-0.9399999999999999</v>
      </c>
      <c r="L3" s="7" t="n">
        <v>0.05</v>
      </c>
      <c r="M3" s="9" t="n">
        <v>-0.8</v>
      </c>
      <c r="N3" s="7" t="n">
        <v>26.38</v>
      </c>
      <c r="O3" s="7" t="n">
        <v>21.71</v>
      </c>
      <c r="P3" s="7" t="n">
        <v>27.29</v>
      </c>
      <c r="Q3" s="7" t="n">
        <v>4583.58</v>
      </c>
      <c r="R3" s="7" t="n">
        <v>-1.82</v>
      </c>
      <c r="S3" s="7" t="n">
        <v>-5.13</v>
      </c>
      <c r="T3" s="7" t="n">
        <v>-4.73</v>
      </c>
      <c r="U3" s="7" t="n">
        <v>-5.72</v>
      </c>
      <c r="V3" s="7" t="n">
        <v>72.8</v>
      </c>
      <c r="W3" s="7" t="n">
        <v>42.3</v>
      </c>
      <c r="X3" s="7" t="n">
        <v>0.46</v>
      </c>
      <c r="Y3" s="7" t="n">
        <v>67.37</v>
      </c>
      <c r="Z3" s="7" t="n">
        <v>1.19</v>
      </c>
      <c r="AA3" s="7" t="n">
        <v>-2</v>
      </c>
      <c r="AB3" s="9" t="n">
        <v>0.67</v>
      </c>
      <c r="AC3" s="7" t="n">
        <v/>
      </c>
      <c r="AD3" s="7" t="n">
        <v>5.24</v>
      </c>
      <c r="AE3" s="7" t="n">
        <v>67.91</v>
      </c>
    </row>
    <row r="4">
      <c r="A4" s="2" t="n">
        <v>46078.59783564815</v>
      </c>
      <c r="B4" s="3" t="n">
        <v>79.68000000000001</v>
      </c>
      <c r="C4" s="3" t="n">
        <v>102.64</v>
      </c>
      <c r="D4" s="4" t="n">
        <v>1.29</v>
      </c>
      <c r="E4" s="3" t="n">
        <v>147.06</v>
      </c>
      <c r="F4" s="3" t="n">
        <v>155.02</v>
      </c>
      <c r="G4" s="3" t="n">
        <v>5.86</v>
      </c>
      <c r="H4" s="3" t="n">
        <v>-12.18</v>
      </c>
      <c r="I4" s="3" t="n">
        <v>1.2</v>
      </c>
      <c r="J4" s="3" t="n">
        <v>2.52</v>
      </c>
      <c r="K4" s="3" t="n">
        <v>1.32</v>
      </c>
      <c r="L4" s="3" t="n">
        <v>2.27</v>
      </c>
      <c r="M4" s="5" t="n">
        <v>-1.8</v>
      </c>
      <c r="N4" s="3" t="n">
        <v>26.67</v>
      </c>
      <c r="O4" s="3" t="n">
        <v>21.83</v>
      </c>
      <c r="P4" s="3" t="n">
        <v>28.58</v>
      </c>
      <c r="Q4" s="3" t="n">
        <v>4935.63</v>
      </c>
      <c r="R4" s="3" t="n">
        <v>2.23</v>
      </c>
      <c r="S4" s="3" t="n">
        <v>7.08</v>
      </c>
      <c r="T4" s="3" t="n">
        <v>24.56</v>
      </c>
      <c r="U4" s="3" t="n">
        <v>26.6</v>
      </c>
      <c r="V4" s="3" t="n">
        <v>80.8</v>
      </c>
      <c r="W4" s="3" t="n">
        <v>44.44</v>
      </c>
      <c r="X4" s="3" t="n">
        <v>0.38</v>
      </c>
      <c r="Y4" s="3" t="n">
        <v>67.25</v>
      </c>
      <c r="Z4" s="3" t="n">
        <v>1.21</v>
      </c>
      <c r="AA4" s="3" t="n">
        <v>2.42</v>
      </c>
      <c r="AB4" s="5" t="n">
        <v>1.57</v>
      </c>
      <c r="AC4" s="3" t="n">
        <v/>
      </c>
      <c r="AD4" s="3" t="n">
        <v>5.51</v>
      </c>
      <c r="AE4" s="3" t="n">
        <v>67.34</v>
      </c>
    </row>
    <row r="5">
      <c r="A5" s="6" t="n">
        <v>46078.59842592593</v>
      </c>
      <c r="B5" s="7" t="n">
        <v>77.92</v>
      </c>
      <c r="C5" s="7" t="n">
        <v>95.19</v>
      </c>
      <c r="D5" s="8" t="n">
        <v>1.22</v>
      </c>
      <c r="E5" s="7" t="n">
        <v>129.79</v>
      </c>
      <c r="F5" s="7" t="n">
        <v>139.74</v>
      </c>
      <c r="G5" s="7" t="n">
        <v>-3.52</v>
      </c>
      <c r="H5" s="7" t="n">
        <v>-15.93</v>
      </c>
      <c r="I5" s="7" t="n">
        <v>0.4</v>
      </c>
      <c r="J5" s="7" t="n">
        <v>0.5</v>
      </c>
      <c r="K5" s="7" t="n">
        <v>0.1</v>
      </c>
      <c r="L5" s="7" t="n">
        <v>0.46</v>
      </c>
      <c r="M5" s="9" t="n">
        <v>-1.2</v>
      </c>
      <c r="N5" s="7" t="n">
        <v>26.76</v>
      </c>
      <c r="O5" s="7" t="n">
        <v>20.88</v>
      </c>
      <c r="P5" s="7" t="n">
        <v>27.96</v>
      </c>
      <c r="Q5" s="7" t="n">
        <v>5545.86</v>
      </c>
      <c r="R5" s="7" t="n">
        <v>0.29</v>
      </c>
      <c r="S5" s="7" t="n">
        <v>0.75</v>
      </c>
      <c r="T5" s="7" t="n">
        <v>3.9</v>
      </c>
      <c r="U5" s="7" t="n">
        <v>4.3</v>
      </c>
      <c r="V5" s="7" t="n">
        <v>64.8</v>
      </c>
      <c r="W5" s="7" t="n">
        <v>41.46</v>
      </c>
      <c r="X5" s="7" t="n">
        <v>-0.32</v>
      </c>
      <c r="Y5" s="7" t="n">
        <v>63.26</v>
      </c>
      <c r="Z5" s="7" t="n">
        <v>1.18</v>
      </c>
      <c r="AA5" s="7" t="n">
        <v>0.31</v>
      </c>
      <c r="AB5" s="9" t="n">
        <v>0.98</v>
      </c>
      <c r="AC5" s="7" t="n">
        <v/>
      </c>
      <c r="AD5" s="7" t="n">
        <v>4.97</v>
      </c>
      <c r="AE5" s="7" t="n">
        <v>70.13</v>
      </c>
    </row>
    <row r="6">
      <c r="A6" s="2" t="n">
        <v>46078.59681712963</v>
      </c>
      <c r="B6" s="3" t="n">
        <v>78.06999999999999</v>
      </c>
      <c r="C6" s="3" t="n">
        <v>97.54000000000001</v>
      </c>
      <c r="D6" s="4" t="n">
        <v>1.25</v>
      </c>
      <c r="E6" s="3" t="n">
        <v>138.3</v>
      </c>
      <c r="F6" s="3" t="n">
        <v>146.32</v>
      </c>
      <c r="G6" s="3" t="n">
        <v>8.210000000000001</v>
      </c>
      <c r="H6" s="3" t="n">
        <v>-0.14</v>
      </c>
      <c r="I6" s="3" t="n">
        <v>1.6</v>
      </c>
      <c r="J6" s="3" t="n">
        <v>6.63</v>
      </c>
      <c r="K6" s="3" t="n">
        <v>5.03</v>
      </c>
      <c r="L6" s="3" t="n">
        <v>5.71</v>
      </c>
      <c r="M6" s="5" t="n">
        <v>-0.6</v>
      </c>
      <c r="N6" s="3" t="n">
        <v>28.92</v>
      </c>
      <c r="O6" s="3" t="n">
        <v>24.24</v>
      </c>
      <c r="P6" s="3" t="n">
        <v>29.96</v>
      </c>
      <c r="Q6" s="3" t="n">
        <v>4599</v>
      </c>
      <c r="R6" s="3" t="n">
        <v>8.289999999999999</v>
      </c>
      <c r="S6" s="3" t="n">
        <v>23.13</v>
      </c>
      <c r="T6" s="3" t="n">
        <v>64.25</v>
      </c>
      <c r="U6" s="3" t="n">
        <v>70.41</v>
      </c>
      <c r="V6" s="3" t="n">
        <v>80.09</v>
      </c>
      <c r="W6" s="3" t="n">
        <v>44.99</v>
      </c>
      <c r="X6" s="3" t="n">
        <v>1.23</v>
      </c>
      <c r="Y6" s="3" t="n">
        <v>65.8</v>
      </c>
      <c r="Z6" s="3" t="n">
        <v>1.18</v>
      </c>
      <c r="AA6" s="3" t="n">
        <v>8.890000000000001</v>
      </c>
      <c r="AB6" s="5" t="n">
        <v>0.43</v>
      </c>
      <c r="AC6" s="3" t="n">
        <v/>
      </c>
      <c r="AD6" s="3" t="n">
        <v>5.38</v>
      </c>
      <c r="AE6" s="3" t="n">
        <v>67.45</v>
      </c>
    </row>
    <row r="7">
      <c r="A7" s="6" t="n">
        <v>46078.59770833333</v>
      </c>
      <c r="B7" s="7" t="n">
        <v>77.88</v>
      </c>
      <c r="C7" s="7" t="n">
        <v>95.19</v>
      </c>
      <c r="D7" s="8" t="n">
        <v>1.22</v>
      </c>
      <c r="E7" s="7" t="n">
        <v>137.82</v>
      </c>
      <c r="F7" s="7" t="n">
        <v>155.52</v>
      </c>
      <c r="G7" s="7" t="n">
        <v>9.24</v>
      </c>
      <c r="H7" s="7" t="n">
        <v>-2.42</v>
      </c>
      <c r="I7" s="7" t="n">
        <v>2.8</v>
      </c>
      <c r="J7" s="7" t="n">
        <v>3.55</v>
      </c>
      <c r="K7" s="7" t="n">
        <v>0.75</v>
      </c>
      <c r="L7" s="7" t="n">
        <v>3.43</v>
      </c>
      <c r="M7" s="9" t="n">
        <v>-0.2</v>
      </c>
      <c r="N7" s="7" t="n">
        <v>25.6</v>
      </c>
      <c r="O7" s="7" t="n">
        <v>22.23</v>
      </c>
      <c r="P7" s="7" t="n">
        <v>25.99</v>
      </c>
      <c r="Q7" s="7" t="n">
        <v>3186.32</v>
      </c>
      <c r="R7" s="7" t="n">
        <v>1.56</v>
      </c>
      <c r="S7" s="7" t="n">
        <v>3.54</v>
      </c>
      <c r="T7" s="7" t="n">
        <v>28.29</v>
      </c>
      <c r="U7" s="7" t="n">
        <v>32.48</v>
      </c>
      <c r="V7" s="7" t="n">
        <v>65.17</v>
      </c>
      <c r="W7" s="7" t="n">
        <v>38.67</v>
      </c>
      <c r="X7" s="7" t="n">
        <v>2.55</v>
      </c>
      <c r="Y7" s="7" t="n">
        <v>71.22</v>
      </c>
      <c r="Z7" s="7" t="n">
        <v>1.21</v>
      </c>
      <c r="AA7" s="7" t="n">
        <v>1.7</v>
      </c>
      <c r="AB7" s="9" t="n">
        <v>0.2</v>
      </c>
      <c r="AC7" s="7" t="n">
        <v/>
      </c>
      <c r="AD7" s="7" t="n">
        <v>4.89</v>
      </c>
      <c r="AE7" s="7" t="n">
        <v>68.38</v>
      </c>
    </row>
    <row r="8">
      <c r="A8" s="2" t="n">
        <v>46078.59828703704</v>
      </c>
      <c r="B8" s="3" t="n">
        <v>77.38</v>
      </c>
      <c r="C8" s="3" t="n">
        <v>99.59</v>
      </c>
      <c r="D8" s="4" t="n">
        <v>1.29</v>
      </c>
      <c r="E8" s="3" t="n">
        <v>142.93</v>
      </c>
      <c r="F8" s="3" t="n">
        <v>152.14</v>
      </c>
      <c r="G8" s="3" t="n">
        <v>10.02</v>
      </c>
      <c r="H8" s="3" t="n">
        <v>-1.75</v>
      </c>
      <c r="I8" s="3" t="n">
        <v>2.4</v>
      </c>
      <c r="J8" s="3" t="n">
        <v>3.29</v>
      </c>
      <c r="K8" s="3" t="n">
        <v>0.89</v>
      </c>
      <c r="L8" s="3" t="n">
        <v>3.12</v>
      </c>
      <c r="M8" s="5" t="n">
        <v>-1</v>
      </c>
      <c r="N8" s="3" t="n">
        <v>27.34</v>
      </c>
      <c r="O8" s="3" t="n">
        <v>22.8</v>
      </c>
      <c r="P8" s="3" t="n">
        <v>28.42</v>
      </c>
      <c r="Q8" s="3" t="n">
        <v>4489</v>
      </c>
      <c r="R8" s="3" t="n">
        <v>1.64</v>
      </c>
      <c r="S8" s="3" t="n">
        <v>4.75</v>
      </c>
      <c r="T8" s="3" t="n">
        <v>28.06</v>
      </c>
      <c r="U8" s="3" t="n">
        <v>30.39</v>
      </c>
      <c r="V8" s="3" t="n">
        <v>78.39</v>
      </c>
      <c r="W8" s="3" t="n">
        <v>43.84</v>
      </c>
      <c r="X8" s="3" t="n">
        <v>1.84</v>
      </c>
      <c r="Y8" s="3" t="n">
        <v>67.26000000000001</v>
      </c>
      <c r="Z8" s="3" t="n">
        <v>1.17</v>
      </c>
      <c r="AA8" s="3" t="n">
        <v>1.77</v>
      </c>
      <c r="AB8" s="5" t="n">
        <v>0.79</v>
      </c>
      <c r="AC8" s="3" t="n">
        <v/>
      </c>
      <c r="AD8" s="3" t="n">
        <v>5.39</v>
      </c>
      <c r="AE8" s="3" t="n">
        <v>67.98999999999999</v>
      </c>
    </row>
    <row r="9">
      <c r="A9" s="6" t="n">
        <v>46078.59856481481</v>
      </c>
      <c r="B9" s="7" t="n">
        <v>78.79000000000001</v>
      </c>
      <c r="C9" s="7" t="n">
        <v>98.52</v>
      </c>
      <c r="D9" s="8" t="n">
        <v>1.25</v>
      </c>
      <c r="E9" s="7" t="n">
        <v>141.22</v>
      </c>
      <c r="F9" s="7" t="n">
        <v>149.15</v>
      </c>
      <c r="G9" s="7" t="n">
        <v>6.79</v>
      </c>
      <c r="H9" s="7" t="n">
        <v>-10.86</v>
      </c>
      <c r="I9" s="7" t="n">
        <v>0.6</v>
      </c>
      <c r="J9" s="7" t="n">
        <v>3.58</v>
      </c>
      <c r="K9" s="7" t="n">
        <v>2.98</v>
      </c>
      <c r="L9" s="7" t="n">
        <v>3.07</v>
      </c>
      <c r="M9" s="9" t="n">
        <v>-0.4</v>
      </c>
      <c r="N9" s="7" t="n">
        <v>28.93</v>
      </c>
      <c r="O9" s="7" t="n">
        <v>24.45</v>
      </c>
      <c r="P9" s="7" t="n">
        <v>29.63</v>
      </c>
      <c r="Q9" s="7" t="n">
        <v>4401.63</v>
      </c>
      <c r="R9" s="7" t="n">
        <v>4.82</v>
      </c>
      <c r="S9" s="7" t="n">
        <v>13.77</v>
      </c>
      <c r="T9" s="7" t="n">
        <v>36.41</v>
      </c>
      <c r="U9" s="7" t="n">
        <v>39.85</v>
      </c>
      <c r="V9" s="7" t="n">
        <v>82.88</v>
      </c>
      <c r="W9" s="7" t="n">
        <v>45.38</v>
      </c>
      <c r="X9" s="7" t="n">
        <v>0.37</v>
      </c>
      <c r="Y9" s="7" t="n">
        <v>66.61</v>
      </c>
      <c r="Z9" s="7" t="n">
        <v>1.23</v>
      </c>
      <c r="AA9" s="7" t="n">
        <v>5.16</v>
      </c>
      <c r="AB9" s="9" t="n">
        <v>0.39</v>
      </c>
      <c r="AC9" s="7" t="n">
        <v/>
      </c>
      <c r="AD9" s="7" t="n">
        <v>5.46</v>
      </c>
      <c r="AE9" s="7" t="n">
        <v>65</v>
      </c>
    </row>
    <row r="10">
      <c r="A10" s="2" t="n">
        <v>46078.60009259259</v>
      </c>
      <c r="B10" s="3" t="n">
        <v>79.16</v>
      </c>
      <c r="C10" s="3" t="n">
        <v>99.64</v>
      </c>
      <c r="D10" s="4" t="n">
        <v>1.26</v>
      </c>
      <c r="E10" s="3" t="n">
        <v>145.27</v>
      </c>
      <c r="F10" s="3" t="n">
        <v>156.24</v>
      </c>
      <c r="G10" s="3" t="n">
        <v>6.44</v>
      </c>
      <c r="H10" s="3" t="n">
        <v>-4.46</v>
      </c>
      <c r="I10" s="3" t="n">
        <v>1.6</v>
      </c>
      <c r="J10" s="3" t="n">
        <v>1.72</v>
      </c>
      <c r="K10" s="3" t="n">
        <v>0.12</v>
      </c>
      <c r="L10" s="3" t="n">
        <v>1.7</v>
      </c>
      <c r="M10" s="5" t="n">
        <v>0</v>
      </c>
      <c r="N10" s="3" t="n">
        <v>26.95</v>
      </c>
      <c r="O10" s="3" t="n">
        <v>22.96</v>
      </c>
      <c r="P10" s="3" t="n">
        <v>27.09</v>
      </c>
      <c r="Q10" s="3" t="n">
        <v>3951.77</v>
      </c>
      <c r="R10" s="3" t="n">
        <v>0.19</v>
      </c>
      <c r="S10" s="3" t="n">
        <v>0.53</v>
      </c>
      <c r="T10" s="3" t="n">
        <v>13.45</v>
      </c>
      <c r="U10" s="3" t="n">
        <v>14.53</v>
      </c>
      <c r="V10" s="3" t="n">
        <v>78.06999999999999</v>
      </c>
      <c r="W10" s="3" t="n">
        <v>43</v>
      </c>
      <c r="X10" s="3" t="n">
        <v>1.51</v>
      </c>
      <c r="Y10" s="3" t="n">
        <v>67.95999999999999</v>
      </c>
      <c r="Z10" s="3" t="n">
        <v>1.21</v>
      </c>
      <c r="AA10" s="3" t="n">
        <v>0.2</v>
      </c>
      <c r="AB10" s="5" t="n">
        <v>-0.04</v>
      </c>
      <c r="AC10" s="3" t="n">
        <v/>
      </c>
      <c r="AD10" s="3" t="n">
        <v>5.36</v>
      </c>
      <c r="AE10" s="3" t="n">
        <v>67.06999999999999</v>
      </c>
    </row>
    <row r="11">
      <c r="A11" s="6" t="n">
        <v>46078.59797453704</v>
      </c>
      <c r="B11" s="7" t="n">
        <v>78.97</v>
      </c>
      <c r="C11" s="7" t="n">
        <v>99.62</v>
      </c>
      <c r="D11" s="8" t="n">
        <v>1.26</v>
      </c>
      <c r="E11" s="7" t="n">
        <v>141.07</v>
      </c>
      <c r="F11" s="7" t="n">
        <v>147.82</v>
      </c>
      <c r="G11" s="7" t="n">
        <v>2.63</v>
      </c>
      <c r="H11" s="7" t="n">
        <v>-13.81</v>
      </c>
      <c r="I11" s="7" t="n">
        <v>2</v>
      </c>
      <c r="J11" s="7" t="n">
        <v>4.9</v>
      </c>
      <c r="K11" s="7" t="n">
        <v>2.9</v>
      </c>
      <c r="L11" s="7" t="n">
        <v>4.32</v>
      </c>
      <c r="M11" s="9" t="n">
        <v>-0.4</v>
      </c>
      <c r="N11" s="7" t="n">
        <v>28.6</v>
      </c>
      <c r="O11" s="7" t="n">
        <v>23.6</v>
      </c>
      <c r="P11" s="7" t="n">
        <v>29.2</v>
      </c>
      <c r="Q11" s="7" t="n">
        <v>4963.92</v>
      </c>
      <c r="R11" s="7" t="n">
        <v>4.98</v>
      </c>
      <c r="S11" s="7" t="n">
        <v>14.91</v>
      </c>
      <c r="T11" s="7" t="n">
        <v>46.7</v>
      </c>
      <c r="U11" s="7" t="n">
        <v>50.38</v>
      </c>
      <c r="V11" s="7" t="n">
        <v>82.43000000000001</v>
      </c>
      <c r="W11" s="7" t="n">
        <v>45.66</v>
      </c>
      <c r="X11" s="7" t="n">
        <v>1.67</v>
      </c>
      <c r="Y11" s="7" t="n">
        <v>65.91</v>
      </c>
      <c r="Z11" s="7" t="n">
        <v>1.2</v>
      </c>
      <c r="AA11" s="7" t="n">
        <v>5.36</v>
      </c>
      <c r="AB11" s="9" t="n">
        <v>0.28</v>
      </c>
      <c r="AC11" s="7" t="n">
        <v/>
      </c>
      <c r="AD11" s="7" t="n">
        <v>5.49</v>
      </c>
      <c r="AE11" s="7" t="n">
        <v>66.62</v>
      </c>
    </row>
    <row r="12">
      <c r="A12" s="2" t="n">
        <v>46078.59928240741</v>
      </c>
      <c r="B12" s="3" t="n">
        <v>77.56</v>
      </c>
      <c r="C12" s="3" t="n">
        <v>103.64</v>
      </c>
      <c r="D12" s="4" t="n">
        <v>1.34</v>
      </c>
      <c r="E12" s="3" t="n">
        <v>149.55</v>
      </c>
      <c r="F12" s="3" t="n">
        <v>158.68</v>
      </c>
      <c r="G12" s="3" t="n">
        <v>3.25</v>
      </c>
      <c r="H12" s="3" t="n">
        <v>-7.86</v>
      </c>
      <c r="I12" s="3" t="n">
        <v>2</v>
      </c>
      <c r="J12" s="3" t="n">
        <v>0.64</v>
      </c>
      <c r="K12" s="3" t="n">
        <v>-1.36</v>
      </c>
      <c r="L12" s="3" t="n">
        <v>0.9</v>
      </c>
      <c r="M12" s="5" t="n">
        <v>-2.2</v>
      </c>
      <c r="N12" s="3" t="n">
        <v>25.73</v>
      </c>
      <c r="O12" s="3" t="n">
        <v>21.09</v>
      </c>
      <c r="P12" s="3" t="n">
        <v>27.97</v>
      </c>
      <c r="Q12" s="3" t="n">
        <v>4776.97</v>
      </c>
      <c r="R12" s="3" t="n">
        <v>-2.41</v>
      </c>
      <c r="S12" s="3" t="n">
        <v>-7.71</v>
      </c>
      <c r="T12" s="3" t="n">
        <v>-0.68</v>
      </c>
      <c r="U12" s="3" t="n">
        <v>-1.54</v>
      </c>
      <c r="V12" s="3" t="n">
        <v>79.04000000000001</v>
      </c>
      <c r="W12" s="3" t="n">
        <v>43.49</v>
      </c>
      <c r="X12" s="3" t="n">
        <v>1.01</v>
      </c>
      <c r="Y12" s="3" t="n">
        <v>66.45999999999999</v>
      </c>
      <c r="Z12" s="3" t="n">
        <v>1.2</v>
      </c>
      <c r="AA12" s="3" t="n">
        <v>-2.67</v>
      </c>
      <c r="AB12" s="5" t="n">
        <v>1.89</v>
      </c>
      <c r="AC12" s="3" t="n">
        <v/>
      </c>
      <c r="AD12" s="3" t="n">
        <v>5.49</v>
      </c>
      <c r="AE12" s="3" t="n">
        <v>67.56</v>
      </c>
    </row>
    <row r="13">
      <c r="A13" s="6" t="n">
        <v>46078.5994212963</v>
      </c>
      <c r="B13" s="7" t="n">
        <v>78.29000000000001</v>
      </c>
      <c r="C13" s="7" t="n">
        <v>101.98</v>
      </c>
      <c r="D13" s="8" t="n">
        <v>1.3</v>
      </c>
      <c r="E13" s="7" t="n">
        <v>145.51</v>
      </c>
      <c r="F13" s="7" t="n">
        <v>155.42</v>
      </c>
      <c r="G13" s="7" t="n">
        <v>0.23</v>
      </c>
      <c r="H13" s="7" t="n">
        <v>-16.01</v>
      </c>
      <c r="I13" s="7" t="n">
        <v>1.8</v>
      </c>
      <c r="J13" s="7" t="n">
        <v>-0.17</v>
      </c>
      <c r="K13" s="7" t="n">
        <v>-1.97</v>
      </c>
      <c r="L13" s="7" t="n">
        <v>0.22</v>
      </c>
      <c r="M13" s="9" t="n">
        <v>-2.2</v>
      </c>
      <c r="N13" s="7" t="n">
        <v>25.49</v>
      </c>
      <c r="O13" s="7" t="n">
        <v>20.66</v>
      </c>
      <c r="P13" s="7" t="n">
        <v>27.78</v>
      </c>
      <c r="Q13" s="7" t="n">
        <v>4899</v>
      </c>
      <c r="R13" s="7" t="n">
        <v>-3.55</v>
      </c>
      <c r="S13" s="7" t="n">
        <v>-10.85</v>
      </c>
      <c r="T13" s="7" t="n">
        <v>-9.140000000000001</v>
      </c>
      <c r="U13" s="7" t="n">
        <v>-11.02</v>
      </c>
      <c r="V13" s="7" t="n">
        <v>74.37</v>
      </c>
      <c r="W13" s="7" t="n">
        <v>42.51</v>
      </c>
      <c r="X13" s="7" t="n">
        <v>0.78</v>
      </c>
      <c r="Y13" s="7" t="n">
        <v>64.93000000000001</v>
      </c>
      <c r="Z13" s="7" t="n">
        <v>1.19</v>
      </c>
      <c r="AA13" s="7" t="n">
        <v>-3.95</v>
      </c>
      <c r="AB13" s="9" t="n">
        <v>1.93</v>
      </c>
      <c r="AC13" s="7" t="n">
        <v/>
      </c>
      <c r="AD13" s="7" t="n">
        <v>5.35</v>
      </c>
      <c r="AE13" s="7" t="n">
        <v>66.97</v>
      </c>
    </row>
    <row r="14">
      <c r="A14" s="2" t="n">
        <v>46078.59956018518</v>
      </c>
      <c r="B14" s="3" t="n">
        <v>78.86</v>
      </c>
      <c r="C14" s="3" t="n">
        <v>98.92</v>
      </c>
      <c r="D14" s="4" t="n">
        <v>1.25</v>
      </c>
      <c r="E14" s="3" t="n">
        <v>141.69</v>
      </c>
      <c r="F14" s="3" t="n">
        <v>151.82</v>
      </c>
      <c r="G14" s="3" t="n">
        <v>4.92</v>
      </c>
      <c r="H14" s="3" t="n">
        <v>-19.76</v>
      </c>
      <c r="I14" s="3" t="n">
        <v>2.2</v>
      </c>
      <c r="J14" s="3" t="n">
        <v>0.83</v>
      </c>
      <c r="K14" s="3" t="n">
        <v>-1.37</v>
      </c>
      <c r="L14" s="3" t="n">
        <v>1.1</v>
      </c>
      <c r="M14" s="5" t="n">
        <v>-0.4</v>
      </c>
      <c r="N14" s="3" t="n">
        <v>26.96</v>
      </c>
      <c r="O14" s="3" t="n">
        <v>22.46</v>
      </c>
      <c r="P14" s="3" t="n">
        <v>27.51</v>
      </c>
      <c r="Q14" s="3" t="n">
        <v>4422.93</v>
      </c>
      <c r="R14" s="3" t="n">
        <v>-2.56</v>
      </c>
      <c r="S14" s="3" t="n">
        <v>-7.21</v>
      </c>
      <c r="T14" s="3" t="n">
        <v>0.92</v>
      </c>
      <c r="U14" s="3" t="n">
        <v>0.15</v>
      </c>
      <c r="V14" s="3" t="n">
        <v>75.56999999999999</v>
      </c>
      <c r="W14" s="3" t="n">
        <v>43.01</v>
      </c>
      <c r="X14" s="3" t="n">
        <v>2.03</v>
      </c>
      <c r="Y14" s="3" t="n">
        <v>68.77</v>
      </c>
      <c r="Z14" s="3" t="n">
        <v>1.19</v>
      </c>
      <c r="AA14" s="3" t="n">
        <v>-2.8</v>
      </c>
      <c r="AB14" s="5" t="n">
        <v>0.31</v>
      </c>
      <c r="AC14" s="3" t="n">
        <v/>
      </c>
      <c r="AD14" s="3" t="n">
        <v>5.3</v>
      </c>
      <c r="AE14" s="3" t="n">
        <v>66.15000000000001</v>
      </c>
    </row>
    <row r="15">
      <c r="A15" s="6" t="n">
        <v>46078.59982638889</v>
      </c>
      <c r="B15" s="7" t="n">
        <v>76.94</v>
      </c>
      <c r="C15" s="7" t="n">
        <v>98.09999999999999</v>
      </c>
      <c r="D15" s="8" t="n">
        <v>1.27</v>
      </c>
      <c r="E15" s="7" t="n">
        <v>139.88</v>
      </c>
      <c r="F15" s="7" t="n">
        <v>155.68</v>
      </c>
      <c r="G15" s="7" t="n">
        <v>3.8</v>
      </c>
      <c r="H15" s="7" t="n">
        <v>-15.37</v>
      </c>
      <c r="I15" s="7" t="n">
        <v>3.4</v>
      </c>
      <c r="J15" s="7" t="n">
        <v>-0.72</v>
      </c>
      <c r="K15" s="7" t="n">
        <v>-4.12</v>
      </c>
      <c r="L15" s="7" t="n">
        <v>0</v>
      </c>
      <c r="M15" s="9" t="n">
        <v>-1</v>
      </c>
      <c r="N15" s="7" t="n">
        <v>24.54</v>
      </c>
      <c r="O15" s="7" t="n">
        <v>20.46</v>
      </c>
      <c r="P15" s="7" t="n">
        <v>25.99</v>
      </c>
      <c r="Q15" s="7" t="n">
        <v>4025.26</v>
      </c>
      <c r="R15" s="7" t="n">
        <v>-7.7</v>
      </c>
      <c r="S15" s="7" t="n">
        <v>-19.82</v>
      </c>
      <c r="T15" s="7" t="n">
        <v>-19.81</v>
      </c>
      <c r="U15" s="7" t="n">
        <v>-25.11</v>
      </c>
      <c r="V15" s="7" t="n">
        <v>64.59999999999999</v>
      </c>
      <c r="W15" s="7" t="n">
        <v>38.89</v>
      </c>
      <c r="X15" s="7" t="n">
        <v>2.92</v>
      </c>
      <c r="Y15" s="7" t="n">
        <v>70.43000000000001</v>
      </c>
      <c r="Z15" s="7" t="n">
        <v>1.21</v>
      </c>
      <c r="AA15" s="7" t="n">
        <v>-8.52</v>
      </c>
      <c r="AB15" s="9" t="n">
        <v>0.91</v>
      </c>
      <c r="AC15" s="7" t="n">
        <v/>
      </c>
      <c r="AD15" s="7" t="n">
        <v>4.97</v>
      </c>
      <c r="AE15" s="7" t="n">
        <v>70.87</v>
      </c>
    </row>
    <row r="16">
      <c r="A16" s="2" t="n">
        <v>46078.59995370371</v>
      </c>
      <c r="B16" s="3" t="n">
        <v>78.42</v>
      </c>
      <c r="C16" s="3" t="n">
        <v>97.81</v>
      </c>
      <c r="D16" s="4" t="n">
        <v>1.25</v>
      </c>
      <c r="E16" s="3" t="n">
        <v>135.9</v>
      </c>
      <c r="F16" s="3" t="n">
        <v>142.19</v>
      </c>
      <c r="G16" s="3" t="n">
        <v>2.52</v>
      </c>
      <c r="H16" s="3" t="n">
        <v>-18.23</v>
      </c>
      <c r="I16" s="3" t="n">
        <v>1</v>
      </c>
      <c r="J16" s="3" t="n">
        <v>4.81</v>
      </c>
      <c r="K16" s="3" t="n">
        <v>3.81</v>
      </c>
      <c r="L16" s="3" t="n">
        <v>4.02</v>
      </c>
      <c r="M16" s="5" t="n">
        <v>-1.4</v>
      </c>
      <c r="N16" s="3" t="n">
        <v>29</v>
      </c>
      <c r="O16" s="3" t="n">
        <v>23.48</v>
      </c>
      <c r="P16" s="3" t="n">
        <v>30.79</v>
      </c>
      <c r="Q16" s="3" t="n">
        <v>5396.55</v>
      </c>
      <c r="R16" s="3" t="n">
        <v>6.04</v>
      </c>
      <c r="S16" s="3" t="n">
        <v>17.45</v>
      </c>
      <c r="T16" s="3" t="n">
        <v>45.97</v>
      </c>
      <c r="U16" s="3" t="n">
        <v>49.85</v>
      </c>
      <c r="V16" s="3" t="n">
        <v>79.09</v>
      </c>
      <c r="W16" s="3" t="n">
        <v>45.53</v>
      </c>
      <c r="X16" s="3" t="n">
        <v>0.18</v>
      </c>
      <c r="Y16" s="3" t="n">
        <v>64.11</v>
      </c>
      <c r="Z16" s="3" t="n">
        <v>1.2</v>
      </c>
      <c r="AA16" s="3" t="n">
        <v>6.51</v>
      </c>
      <c r="AB16" s="5" t="n">
        <v>1.34</v>
      </c>
      <c r="AC16" s="3" t="n">
        <v/>
      </c>
      <c r="AD16" s="3" t="n">
        <v>5.38</v>
      </c>
      <c r="AE16" s="3" t="n">
        <v>65.66</v>
      </c>
    </row>
    <row r="17">
      <c r="A17" s="6" t="n">
        <v>46078.60128472222</v>
      </c>
      <c r="B17" s="7" t="n">
        <v>76.68000000000001</v>
      </c>
      <c r="C17" s="7" t="n">
        <v>100.05</v>
      </c>
      <c r="D17" s="8" t="n">
        <v>1.3</v>
      </c>
      <c r="E17" s="7" t="n">
        <v>144.42</v>
      </c>
      <c r="F17" s="7" t="n">
        <v>157.79</v>
      </c>
      <c r="G17" s="7" t="n">
        <v>6.64</v>
      </c>
      <c r="H17" s="7" t="n">
        <v>-7.71</v>
      </c>
      <c r="I17" s="7" t="n">
        <v>2</v>
      </c>
      <c r="J17" s="7" t="n">
        <v>-0.85</v>
      </c>
      <c r="K17" s="7" t="n">
        <v>-2.85</v>
      </c>
      <c r="L17" s="7" t="n">
        <v>-0.35</v>
      </c>
      <c r="M17" s="9" t="n">
        <v>-1</v>
      </c>
      <c r="N17" s="7" t="n">
        <v>25.05</v>
      </c>
      <c r="O17" s="7" t="n">
        <v>20.94</v>
      </c>
      <c r="P17" s="7" t="n">
        <v>26.36</v>
      </c>
      <c r="Q17" s="7" t="n">
        <v>4106.28</v>
      </c>
      <c r="R17" s="7" t="n">
        <v>-5.31</v>
      </c>
      <c r="S17" s="7" t="n">
        <v>-14.75</v>
      </c>
      <c r="T17" s="7" t="n">
        <v>-17.42</v>
      </c>
      <c r="U17" s="7" t="n">
        <v>-20.99</v>
      </c>
      <c r="V17" s="7" t="n">
        <v>70.31999999999999</v>
      </c>
      <c r="W17" s="7" t="n">
        <v>40.56</v>
      </c>
      <c r="X17" s="7" t="n">
        <v>1.51</v>
      </c>
      <c r="Y17" s="7" t="n">
        <v>68.62</v>
      </c>
      <c r="Z17" s="7" t="n">
        <v>1.21</v>
      </c>
      <c r="AA17" s="7" t="n">
        <v>-5.86</v>
      </c>
      <c r="AB17" s="9" t="n">
        <v>0.91</v>
      </c>
      <c r="AC17" s="7" t="n">
        <v/>
      </c>
      <c r="AD17" s="7" t="n">
        <v>5.17</v>
      </c>
      <c r="AE17" s="7" t="n">
        <v>68.11</v>
      </c>
    </row>
    <row r="18">
      <c r="A18" s="2" t="n">
        <v>46078.60246527778</v>
      </c>
      <c r="B18" s="3" t="n">
        <v>76.29000000000001</v>
      </c>
      <c r="C18" s="3" t="n">
        <v>97.11</v>
      </c>
      <c r="D18" s="4" t="n">
        <v>1.27</v>
      </c>
      <c r="E18" s="3" t="n">
        <v>135.12</v>
      </c>
      <c r="F18" s="3" t="n">
        <v>144.29</v>
      </c>
      <c r="G18" s="3" t="n">
        <v>0.58</v>
      </c>
      <c r="H18" s="3" t="n">
        <v>-15.1</v>
      </c>
      <c r="I18" s="3" t="n">
        <v>0.4</v>
      </c>
      <c r="J18" s="3" t="n">
        <v>-1.66</v>
      </c>
      <c r="K18" s="3" t="n">
        <v>-2.06</v>
      </c>
      <c r="L18" s="3" t="n">
        <v>-1.24</v>
      </c>
      <c r="M18" s="5" t="n">
        <v>-2</v>
      </c>
      <c r="N18" s="3" t="n">
        <v>27.16</v>
      </c>
      <c r="O18" s="3" t="n">
        <v>21.81</v>
      </c>
      <c r="P18" s="3" t="n">
        <v>29.38</v>
      </c>
      <c r="Q18" s="3" t="n">
        <v>5163.59</v>
      </c>
      <c r="R18" s="3" t="n">
        <v>-3.39</v>
      </c>
      <c r="S18" s="3" t="n">
        <v>-9.32</v>
      </c>
      <c r="T18" s="3" t="n">
        <v>-18.12</v>
      </c>
      <c r="U18" s="3" t="n">
        <v>-20.5</v>
      </c>
      <c r="V18" s="3" t="n">
        <v>70.98999999999999</v>
      </c>
      <c r="W18" s="3" t="n">
        <v>42.8</v>
      </c>
      <c r="X18" s="3" t="n">
        <v>-0.82</v>
      </c>
      <c r="Y18" s="3" t="n">
        <v>61.92</v>
      </c>
      <c r="Z18" s="3" t="n">
        <v>1.21</v>
      </c>
      <c r="AA18" s="3" t="n">
        <v>-3.71</v>
      </c>
      <c r="AB18" s="5" t="n">
        <v>1.97</v>
      </c>
      <c r="AC18" s="3" t="n">
        <v/>
      </c>
      <c r="AD18" s="3" t="n">
        <v>5.17</v>
      </c>
      <c r="AE18" s="3" t="n">
        <v>66.7</v>
      </c>
    </row>
    <row r="19">
      <c r="A19" s="6" t="n">
        <v>46078.60353009259</v>
      </c>
      <c r="B19" s="7" t="n">
        <v>75.66</v>
      </c>
      <c r="C19" s="7" t="n">
        <v>96.86</v>
      </c>
      <c r="D19" s="8" t="n">
        <v>1.28</v>
      </c>
      <c r="E19" s="7" t="n">
        <v>137.36</v>
      </c>
      <c r="F19" s="7" t="n">
        <v>151.24</v>
      </c>
      <c r="G19" s="7" t="n">
        <v>6.45</v>
      </c>
      <c r="H19" s="7" t="n">
        <v>-12.25</v>
      </c>
      <c r="I19" s="7" t="n">
        <v>2</v>
      </c>
      <c r="J19" s="7" t="n">
        <v>-1.05</v>
      </c>
      <c r="K19" s="7" t="n">
        <v>-3.05</v>
      </c>
      <c r="L19" s="7" t="n">
        <v>-0.5</v>
      </c>
      <c r="M19" s="9" t="n">
        <v>-1.4</v>
      </c>
      <c r="N19" s="7" t="n">
        <v>25.49</v>
      </c>
      <c r="O19" s="7" t="n">
        <v>21.16</v>
      </c>
      <c r="P19" s="7" t="n">
        <v>27.22</v>
      </c>
      <c r="Q19" s="7" t="n">
        <v>4191</v>
      </c>
      <c r="R19" s="7" t="n">
        <v>-5.48</v>
      </c>
      <c r="S19" s="7" t="n">
        <v>-14</v>
      </c>
      <c r="T19" s="7" t="n">
        <v>-17.62</v>
      </c>
      <c r="U19" s="7" t="n">
        <v>-21.44</v>
      </c>
      <c r="V19" s="7" t="n">
        <v>66.02</v>
      </c>
      <c r="W19" s="7" t="n">
        <v>39.93</v>
      </c>
      <c r="X19" s="7" t="n">
        <v>1.32</v>
      </c>
      <c r="Y19" s="7" t="n">
        <v>68.01000000000001</v>
      </c>
      <c r="Z19" s="7" t="n">
        <v>1.22</v>
      </c>
      <c r="AA19" s="7" t="n">
        <v>-6.04</v>
      </c>
      <c r="AB19" s="9" t="n">
        <v>1.3</v>
      </c>
      <c r="AC19" s="7" t="n">
        <v/>
      </c>
      <c r="AD19" s="7" t="n">
        <v>5</v>
      </c>
      <c r="AE19" s="7" t="n">
        <v>67.61</v>
      </c>
    </row>
    <row r="20">
      <c r="A20" s="2" t="n">
        <v>46078.60145833333</v>
      </c>
      <c r="B20" s="3" t="n">
        <v>77.04000000000001</v>
      </c>
      <c r="C20" s="3" t="n">
        <v>96.36</v>
      </c>
      <c r="D20" s="4" t="n">
        <v>1.25</v>
      </c>
      <c r="E20" s="3" t="n">
        <v>135.24</v>
      </c>
      <c r="F20" s="3" t="n">
        <v>145.31</v>
      </c>
      <c r="G20" s="3" t="n">
        <v>1.84</v>
      </c>
      <c r="H20" s="3" t="n">
        <v>-18.28</v>
      </c>
      <c r="I20" s="3" t="n">
        <v>0.2</v>
      </c>
      <c r="J20" s="3" t="n">
        <v>1.86</v>
      </c>
      <c r="K20" s="3" t="n">
        <v>1.66</v>
      </c>
      <c r="L20" s="3" t="n">
        <v>1.53</v>
      </c>
      <c r="M20" s="5" t="n">
        <v>-1.2</v>
      </c>
      <c r="N20" s="3" t="n">
        <v>27.3</v>
      </c>
      <c r="O20" s="3" t="n">
        <v>22.36</v>
      </c>
      <c r="P20" s="3" t="n">
        <v>28.74</v>
      </c>
      <c r="Q20" s="3" t="n">
        <v>4733.23</v>
      </c>
      <c r="R20" s="3" t="n">
        <v>2.88</v>
      </c>
      <c r="S20" s="3" t="n">
        <v>7.66</v>
      </c>
      <c r="T20" s="3" t="n">
        <v>18.48</v>
      </c>
      <c r="U20" s="3" t="n">
        <v>20.83</v>
      </c>
      <c r="V20" s="3" t="n">
        <v>71.16</v>
      </c>
      <c r="W20" s="3" t="n">
        <v>42.55</v>
      </c>
      <c r="X20" s="3" t="n">
        <v>-0.51</v>
      </c>
      <c r="Y20" s="3" t="n">
        <v>65.68000000000001</v>
      </c>
      <c r="Z20" s="3" t="n">
        <v>1.24</v>
      </c>
      <c r="AA20" s="3" t="n">
        <v>3.12</v>
      </c>
      <c r="AB20" s="5" t="n">
        <v>1.18</v>
      </c>
      <c r="AC20" s="3" t="n">
        <v/>
      </c>
      <c r="AD20" s="3" t="n">
        <v>5.15</v>
      </c>
      <c r="AE20" s="3" t="n">
        <v>67.22</v>
      </c>
    </row>
    <row r="21">
      <c r="A21" s="6" t="n">
        <v>46078.60226851852</v>
      </c>
      <c r="B21" s="7" t="n">
        <v>75.28</v>
      </c>
      <c r="C21" s="7" t="n">
        <v>89.47</v>
      </c>
      <c r="D21" s="8" t="n">
        <v>1.19</v>
      </c>
      <c r="E21" s="7" t="n">
        <v>120.64</v>
      </c>
      <c r="F21" s="7" t="n">
        <v>136.05</v>
      </c>
      <c r="G21" s="7" t="n">
        <v>2.11</v>
      </c>
      <c r="H21" s="7" t="n">
        <v>-24.85</v>
      </c>
      <c r="I21" s="7" t="n">
        <v>0.6</v>
      </c>
      <c r="J21" s="7" t="n">
        <v>4.54</v>
      </c>
      <c r="K21" s="7" t="n">
        <v>3.94</v>
      </c>
      <c r="L21" s="7" t="n">
        <v>3.75</v>
      </c>
      <c r="M21" s="9" t="n">
        <v>-1.6</v>
      </c>
      <c r="N21" s="7" t="n">
        <v>26.54</v>
      </c>
      <c r="O21" s="7" t="n">
        <v>21.52</v>
      </c>
      <c r="P21" s="7" t="n">
        <v>28.44</v>
      </c>
      <c r="Q21" s="7" t="n">
        <v>4498.25</v>
      </c>
      <c r="R21" s="7" t="n">
        <v>6.85</v>
      </c>
      <c r="S21" s="7" t="n">
        <v>14.14</v>
      </c>
      <c r="T21" s="7" t="n">
        <v>37.77</v>
      </c>
      <c r="U21" s="7" t="n">
        <v>45.23</v>
      </c>
      <c r="V21" s="7" t="n">
        <v>56.01</v>
      </c>
      <c r="W21" s="7" t="n">
        <v>38.36</v>
      </c>
      <c r="X21" s="7" t="n">
        <v>-0.13</v>
      </c>
      <c r="Y21" s="7" t="n">
        <v>68.67</v>
      </c>
      <c r="Z21" s="7" t="n">
        <v>1.18</v>
      </c>
      <c r="AA21" s="7" t="n">
        <v>7.49</v>
      </c>
      <c r="AB21" s="9" t="n">
        <v>1.3</v>
      </c>
      <c r="AC21" s="7" t="n">
        <v/>
      </c>
      <c r="AD21" s="7" t="n">
        <v>4.57</v>
      </c>
      <c r="AE21" s="7" t="n">
        <v>66.66</v>
      </c>
    </row>
    <row r="22">
      <c r="A22" s="2" t="n">
        <v>46078.60310185186</v>
      </c>
      <c r="B22" s="3" t="n">
        <v>75.88</v>
      </c>
      <c r="C22" s="3" t="n">
        <v>94.56999999999999</v>
      </c>
      <c r="D22" s="4" t="n">
        <v>1.25</v>
      </c>
      <c r="E22" s="3" t="n">
        <v>134.79</v>
      </c>
      <c r="F22" s="3" t="n">
        <v>152.79</v>
      </c>
      <c r="G22" s="3" t="n">
        <v>9.050000000000001</v>
      </c>
      <c r="H22" s="3" t="n">
        <v>-9.56</v>
      </c>
      <c r="I22" s="3" t="n">
        <v>3</v>
      </c>
      <c r="J22" s="3" t="n">
        <v>-0.14</v>
      </c>
      <c r="K22" s="3" t="n">
        <v>-3.14</v>
      </c>
      <c r="L22" s="3" t="n">
        <v>0.34</v>
      </c>
      <c r="M22" s="5" t="n">
        <v>-0.8</v>
      </c>
      <c r="N22" s="3" t="n">
        <v>25.21</v>
      </c>
      <c r="O22" s="3" t="n">
        <v>21.56</v>
      </c>
      <c r="P22" s="3" t="n">
        <v>26.34</v>
      </c>
      <c r="Q22" s="3" t="n">
        <v>3453.74</v>
      </c>
      <c r="R22" s="3" t="n">
        <v>-5.72</v>
      </c>
      <c r="S22" s="3" t="n">
        <v>-12.89</v>
      </c>
      <c r="T22" s="3" t="n">
        <v>-10.49</v>
      </c>
      <c r="U22" s="3" t="n">
        <v>-14.06</v>
      </c>
      <c r="V22" s="3" t="n">
        <v>62.18</v>
      </c>
      <c r="W22" s="3" t="n">
        <v>38.12</v>
      </c>
      <c r="X22" s="3" t="n">
        <v>2.55</v>
      </c>
      <c r="Y22" s="3" t="n">
        <v>70.5</v>
      </c>
      <c r="Z22" s="3" t="n">
        <v>1.25</v>
      </c>
      <c r="AA22" s="3" t="n">
        <v>-6.27</v>
      </c>
      <c r="AB22" s="5" t="n">
        <v>0.75</v>
      </c>
      <c r="AC22" s="3" t="n">
        <v/>
      </c>
      <c r="AD22" s="3" t="n">
        <v>4.81</v>
      </c>
      <c r="AE22" s="3" t="n">
        <v>67.48999999999999</v>
      </c>
    </row>
    <row r="23">
      <c r="A23" s="6" t="n">
        <v>46078.60379629629</v>
      </c>
      <c r="B23" s="7" t="n">
        <v>76.36</v>
      </c>
      <c r="C23" s="7" t="n">
        <v>91.64</v>
      </c>
      <c r="D23" s="8" t="n">
        <v>1.2</v>
      </c>
      <c r="E23" s="7" t="n">
        <v>128.41</v>
      </c>
      <c r="F23" s="7" t="n">
        <v>153.74</v>
      </c>
      <c r="G23" s="7" t="n">
        <v/>
      </c>
      <c r="H23" s="7" t="n">
        <v/>
      </c>
      <c r="I23" s="7" t="n">
        <v>1.2</v>
      </c>
      <c r="J23" s="7" t="n">
        <v>-0.41</v>
      </c>
      <c r="K23" s="7" t="n">
        <v>-1.61</v>
      </c>
      <c r="L23" s="7" t="n">
        <v>-0.18</v>
      </c>
      <c r="M23" s="9" t="n">
        <v>-0.4</v>
      </c>
      <c r="N23" s="7" t="n">
        <v>23.77</v>
      </c>
      <c r="O23" s="7" t="n">
        <v>20.68</v>
      </c>
      <c r="P23" s="7" t="n">
        <v>24.32</v>
      </c>
      <c r="Q23" s="7" t="n">
        <v>2812.33</v>
      </c>
      <c r="R23" s="7" t="n">
        <v>-3.4</v>
      </c>
      <c r="S23" s="7" t="n">
        <v>-6.22</v>
      </c>
      <c r="T23" s="7" t="n">
        <v>-7.43</v>
      </c>
      <c r="U23" s="7" t="n">
        <v>-10.3</v>
      </c>
      <c r="V23" s="7" t="n">
        <v>52.38</v>
      </c>
      <c r="W23" s="7" t="n">
        <v>34.15</v>
      </c>
      <c r="X23" s="7" t="n">
        <v>1.06</v>
      </c>
      <c r="Y23" s="7" t="n">
        <v>71.86</v>
      </c>
      <c r="Z23" s="7" t="n">
        <v>1.23</v>
      </c>
      <c r="AA23" s="7" t="n">
        <v>-3.74</v>
      </c>
      <c r="AB23" s="9" t="n">
        <v>0.31</v>
      </c>
      <c r="AC23" s="7" t="n">
        <v/>
      </c>
      <c r="AD23" s="7" t="n">
        <v>4.41</v>
      </c>
      <c r="AE23" s="7" t="n">
        <v/>
      </c>
    </row>
    <row r="24">
      <c r="A24" s="2" t="n">
        <v>46078.60162037037</v>
      </c>
      <c r="B24" s="3" t="n">
        <v>76.7</v>
      </c>
      <c r="C24" s="3" t="n">
        <v>83.97</v>
      </c>
      <c r="D24" s="4" t="n">
        <v>1.09</v>
      </c>
      <c r="E24" s="3" t="n">
        <v>106.11</v>
      </c>
      <c r="F24" s="3" t="n">
        <v>130.95</v>
      </c>
      <c r="G24" s="3" t="n">
        <v>5.28</v>
      </c>
      <c r="H24" s="3" t="n">
        <v>-30.94</v>
      </c>
      <c r="I24" s="3" t="n">
        <v>0.6</v>
      </c>
      <c r="J24" s="3" t="n">
        <v>11.43</v>
      </c>
      <c r="K24" s="3" t="n">
        <v>10.83</v>
      </c>
      <c r="L24" s="3" t="n">
        <v>9.35</v>
      </c>
      <c r="M24" s="5" t="n">
        <v>-1</v>
      </c>
      <c r="N24" s="3" t="n">
        <v>24.52</v>
      </c>
      <c r="O24" s="3" t="n">
        <v>20.11</v>
      </c>
      <c r="P24" s="3" t="n">
        <v>27.62</v>
      </c>
      <c r="Q24" s="3" t="n">
        <v>4002.58</v>
      </c>
      <c r="R24" s="3" t="n">
        <v>19.78</v>
      </c>
      <c r="S24" s="3" t="n">
        <v>29.47</v>
      </c>
      <c r="T24" s="3" t="n">
        <v>80.56</v>
      </c>
      <c r="U24" s="3" t="n">
        <v>108.05</v>
      </c>
      <c r="V24" s="3" t="n">
        <v>41.37</v>
      </c>
      <c r="W24" s="3" t="n">
        <v>32.65</v>
      </c>
      <c r="X24" s="3" t="n">
        <v>0.05</v>
      </c>
      <c r="Y24" s="3" t="n">
        <v>66.90000000000001</v>
      </c>
      <c r="Z24" s="3" t="n">
        <v>1.17</v>
      </c>
      <c r="AA24" s="3" t="n">
        <v>21.77</v>
      </c>
      <c r="AB24" s="5" t="n">
        <v>0.75</v>
      </c>
      <c r="AC24" s="3" t="n">
        <v/>
      </c>
      <c r="AD24" s="3" t="n">
        <v>3.91</v>
      </c>
      <c r="AE24" s="3" t="n">
        <v>64.77</v>
      </c>
    </row>
    <row r="25">
      <c r="A25" s="6" t="n">
        <v>46078.60203703704</v>
      </c>
      <c r="B25" s="7" t="n">
        <v>75.19</v>
      </c>
      <c r="C25" s="7" t="n">
        <v>98.61</v>
      </c>
      <c r="D25" s="8" t="n">
        <v>1.31</v>
      </c>
      <c r="E25" s="7" t="n">
        <v>141.06</v>
      </c>
      <c r="F25" s="7" t="n">
        <v>158.11</v>
      </c>
      <c r="G25" s="7" t="n">
        <v>9.130000000000001</v>
      </c>
      <c r="H25" s="7" t="n">
        <v>-8.630000000000001</v>
      </c>
      <c r="I25" s="7" t="n">
        <v>3.6</v>
      </c>
      <c r="J25" s="7" t="n">
        <v>-2</v>
      </c>
      <c r="K25" s="7" t="n">
        <v>-5.6</v>
      </c>
      <c r="L25" s="7" t="n">
        <v>-1.07</v>
      </c>
      <c r="M25" s="9" t="n">
        <v>-1.4</v>
      </c>
      <c r="N25" s="7" t="n">
        <v>24.15</v>
      </c>
      <c r="O25" s="7" t="n">
        <v>20.28</v>
      </c>
      <c r="P25" s="7" t="n">
        <v>26.28</v>
      </c>
      <c r="Q25" s="7" t="n">
        <v>3874.86</v>
      </c>
      <c r="R25" s="7" t="n">
        <v>-10.5</v>
      </c>
      <c r="S25" s="7" t="n">
        <v>-26.88</v>
      </c>
      <c r="T25" s="7" t="n">
        <v>-34.77</v>
      </c>
      <c r="U25" s="7" t="n">
        <v>-43.27</v>
      </c>
      <c r="V25" s="7" t="n">
        <v>64</v>
      </c>
      <c r="W25" s="7" t="n">
        <v>38.32</v>
      </c>
      <c r="X25" s="7" t="n">
        <v>3.08</v>
      </c>
      <c r="Y25" s="7" t="n">
        <v>72.95999999999999</v>
      </c>
      <c r="Z25" s="7" t="n">
        <v>1.25</v>
      </c>
      <c r="AA25" s="7" t="n">
        <v>-11.62</v>
      </c>
      <c r="AB25" s="9" t="n">
        <v>1.3</v>
      </c>
      <c r="AC25" s="7" t="n">
        <v/>
      </c>
      <c r="AD25" s="7" t="n">
        <v>4.95</v>
      </c>
      <c r="AE25" s="7" t="n">
        <v>70.97</v>
      </c>
    </row>
    <row r="26">
      <c r="A26" s="2" t="n">
        <v>46078.6028125</v>
      </c>
      <c r="B26" s="3" t="n">
        <v>75.03</v>
      </c>
      <c r="C26" s="3" t="n">
        <v>100.73</v>
      </c>
      <c r="D26" s="4" t="n">
        <v>1.34</v>
      </c>
      <c r="E26" s="3" t="n">
        <v>144.9</v>
      </c>
      <c r="F26" s="3" t="n">
        <v>158.2</v>
      </c>
      <c r="G26" s="3" t="n">
        <v>6.55</v>
      </c>
      <c r="H26" s="3" t="n">
        <v>-6.46</v>
      </c>
      <c r="I26" s="3" t="n">
        <v>0.8</v>
      </c>
      <c r="J26" s="3" t="n">
        <v>-3.77</v>
      </c>
      <c r="K26" s="3" t="n">
        <v>-4.57</v>
      </c>
      <c r="L26" s="3" t="n">
        <v>-2.97</v>
      </c>
      <c r="M26" s="5" t="n">
        <v>-1.8</v>
      </c>
      <c r="N26" s="3" t="n">
        <v>24.77</v>
      </c>
      <c r="O26" s="3" t="n">
        <v>20.58</v>
      </c>
      <c r="P26" s="3" t="n">
        <v>26.95</v>
      </c>
      <c r="Q26" s="3" t="n">
        <v>4257.42</v>
      </c>
      <c r="R26" s="3" t="n">
        <v>-8.380000000000001</v>
      </c>
      <c r="S26" s="3" t="n">
        <v>-23.71</v>
      </c>
      <c r="T26" s="3" t="n">
        <v>-46.14</v>
      </c>
      <c r="U26" s="3" t="n">
        <v>-53.53</v>
      </c>
      <c r="V26" s="3" t="n">
        <v>69.93000000000001</v>
      </c>
      <c r="W26" s="3" t="n">
        <v>40.45</v>
      </c>
      <c r="X26" s="3" t="n">
        <v>0.06</v>
      </c>
      <c r="Y26" s="3" t="n">
        <v>68.45999999999999</v>
      </c>
      <c r="Z26" s="3" t="n">
        <v>1.22</v>
      </c>
      <c r="AA26" s="3" t="n">
        <v>-9.24</v>
      </c>
      <c r="AB26" s="5" t="n">
        <v>1.54</v>
      </c>
      <c r="AC26" s="3" t="n">
        <v/>
      </c>
      <c r="AD26" s="3" t="n">
        <v>5.18</v>
      </c>
      <c r="AE26" s="3" t="n">
        <v>68.14</v>
      </c>
    </row>
    <row r="27">
      <c r="A27" s="6" t="n">
        <v>46078.60296296296</v>
      </c>
      <c r="B27" s="7" t="n">
        <v>76.64</v>
      </c>
      <c r="C27" s="7" t="n">
        <v>96.95</v>
      </c>
      <c r="D27" s="8" t="n">
        <v>1.27</v>
      </c>
      <c r="E27" s="7" t="n">
        <v>137.6</v>
      </c>
      <c r="F27" s="7" t="n">
        <v>155.85</v>
      </c>
      <c r="G27" s="7" t="n">
        <v>5.95</v>
      </c>
      <c r="H27" s="7" t="n">
        <v>-18.2</v>
      </c>
      <c r="I27" s="7" t="n">
        <v>2.2</v>
      </c>
      <c r="J27" s="7" t="n">
        <v>-2.99</v>
      </c>
      <c r="K27" s="7" t="n">
        <v>-5.19</v>
      </c>
      <c r="L27" s="7" t="n">
        <v>-2.1</v>
      </c>
      <c r="M27" s="9" t="n">
        <v>-0.8</v>
      </c>
      <c r="N27" s="7" t="n">
        <v>24.14</v>
      </c>
      <c r="O27" s="7" t="n">
        <v>20.29</v>
      </c>
      <c r="P27" s="7" t="n">
        <v>25.54</v>
      </c>
      <c r="Q27" s="7" t="n">
        <v>3792.07</v>
      </c>
      <c r="R27" s="7" t="n">
        <v>-10.11</v>
      </c>
      <c r="S27" s="7" t="n">
        <v>-24.44</v>
      </c>
      <c r="T27" s="7" t="n">
        <v>-39.55</v>
      </c>
      <c r="U27" s="7" t="n">
        <v>-48.98</v>
      </c>
      <c r="V27" s="7" t="n">
        <v>61.26</v>
      </c>
      <c r="W27" s="7" t="n">
        <v>37.61</v>
      </c>
      <c r="X27" s="7" t="n">
        <v>1.88</v>
      </c>
      <c r="Y27" s="7" t="n">
        <v>69.81999999999999</v>
      </c>
      <c r="Z27" s="7" t="n">
        <v>1.2</v>
      </c>
      <c r="AA27" s="7" t="n">
        <v>-11.17</v>
      </c>
      <c r="AB27" s="9" t="n">
        <v>0.63</v>
      </c>
      <c r="AC27" s="7" t="n">
        <v/>
      </c>
      <c r="AD27" s="7" t="n">
        <v>4.84</v>
      </c>
      <c r="AE27" s="7" t="n">
        <v>66.62</v>
      </c>
    </row>
    <row r="28">
      <c r="A28" s="2" t="n">
        <v>46078.60365740741</v>
      </c>
      <c r="B28" s="3" t="n">
        <v>75.98</v>
      </c>
      <c r="C28" s="3" t="n">
        <v>90.15000000000001</v>
      </c>
      <c r="D28" s="4" t="n">
        <v>1.19</v>
      </c>
      <c r="E28" s="3" t="n">
        <v>126.27</v>
      </c>
      <c r="F28" s="3" t="n">
        <v>146.36</v>
      </c>
      <c r="G28" s="3" t="n">
        <v>8.84</v>
      </c>
      <c r="H28" s="3" t="n">
        <v>-16.44</v>
      </c>
      <c r="I28" s="3" t="n">
        <v>1.8</v>
      </c>
      <c r="J28" s="3" t="n">
        <v>3.58</v>
      </c>
      <c r="K28" s="3" t="n">
        <v>1.78</v>
      </c>
      <c r="L28" s="3" t="n">
        <v>3.32</v>
      </c>
      <c r="M28" s="5" t="n">
        <v>-0.6</v>
      </c>
      <c r="N28" s="3" t="n">
        <v>25.82</v>
      </c>
      <c r="O28" s="3" t="n">
        <v>22.33</v>
      </c>
      <c r="P28" s="3" t="n">
        <v>26.48</v>
      </c>
      <c r="Q28" s="3" t="n">
        <v>3131</v>
      </c>
      <c r="R28" s="3" t="n">
        <v>3.21</v>
      </c>
      <c r="S28" s="3" t="n">
        <v>6.14</v>
      </c>
      <c r="T28" s="3" t="n">
        <v>28.08</v>
      </c>
      <c r="U28" s="3" t="n">
        <v>33.72</v>
      </c>
      <c r="V28" s="3" t="n">
        <v>57.45</v>
      </c>
      <c r="W28" s="3" t="n">
        <v>37.08</v>
      </c>
      <c r="X28" s="3" t="n">
        <v>1.56</v>
      </c>
      <c r="Y28" s="3" t="n">
        <v>68.91</v>
      </c>
      <c r="Z28" s="3" t="n">
        <v>1.2</v>
      </c>
      <c r="AA28" s="3" t="n">
        <v>3.49</v>
      </c>
      <c r="AB28" s="5" t="n">
        <v>0.39</v>
      </c>
      <c r="AC28" s="3" t="n">
        <v/>
      </c>
      <c r="AD28" s="3" t="n">
        <v>4.57</v>
      </c>
      <c r="AE28" s="3" t="n">
        <v>65.31999999999999</v>
      </c>
    </row>
    <row r="29">
      <c r="A29" s="6" t="n">
        <v>46078.57119212963</v>
      </c>
      <c r="B29" s="7" t="n">
        <v>75.73</v>
      </c>
      <c r="C29" s="7" t="n">
        <v>89.38</v>
      </c>
      <c r="D29" s="8" t="n">
        <v>1.18</v>
      </c>
      <c r="E29" s="7" t="n">
        <v>122.96</v>
      </c>
      <c r="F29" s="7" t="n">
        <v>147.07</v>
      </c>
      <c r="G29" s="7" t="n">
        <v>10.55</v>
      </c>
      <c r="H29" s="7" t="n">
        <v>6.93</v>
      </c>
      <c r="I29" s="7" t="n">
        <v>3.4</v>
      </c>
      <c r="J29" s="7" t="n">
        <v>1.42</v>
      </c>
      <c r="K29" s="7" t="n">
        <v>-1.98</v>
      </c>
      <c r="L29" s="7" t="n">
        <v>1.73</v>
      </c>
      <c r="M29" s="9" t="n">
        <v>-0.2</v>
      </c>
      <c r="N29" s="7" t="n">
        <v>24.34</v>
      </c>
      <c r="O29" s="7" t="n">
        <v>20.94</v>
      </c>
      <c r="P29" s="7" t="n">
        <v>24.68</v>
      </c>
      <c r="Q29" s="7" t="n">
        <v>3032.68</v>
      </c>
      <c r="R29" s="7" t="n">
        <v>-4.04</v>
      </c>
      <c r="S29" s="7" t="n">
        <v>-7.15</v>
      </c>
      <c r="T29" s="7" t="n">
        <v>3.99</v>
      </c>
      <c r="U29" s="7" t="n">
        <v>3.13</v>
      </c>
      <c r="V29" s="7" t="n">
        <v>51.01</v>
      </c>
      <c r="W29" s="7" t="n">
        <v>34.52</v>
      </c>
      <c r="X29" s="7" t="n">
        <v>3.32</v>
      </c>
      <c r="Y29" s="7" t="n">
        <v>73.45</v>
      </c>
      <c r="Z29" s="7" t="n">
        <v>1.18</v>
      </c>
      <c r="AA29" s="7" t="n">
        <v>-4.44</v>
      </c>
      <c r="AB29" s="9" t="n">
        <v>0.08</v>
      </c>
      <c r="AC29" s="7" t="n">
        <v/>
      </c>
      <c r="AD29" s="7" t="n">
        <v>4.34</v>
      </c>
      <c r="AE29" s="7" t="n">
        <v>68.56999999999999</v>
      </c>
    </row>
    <row r="30">
      <c r="A30" s="2" t="n">
        <v>46078.57134259259</v>
      </c>
      <c r="B30" s="3" t="n">
        <v>76.68000000000001</v>
      </c>
      <c r="C30" s="3" t="n">
        <v>94.29000000000001</v>
      </c>
      <c r="D30" s="4" t="n">
        <v>1.23</v>
      </c>
      <c r="E30" s="3" t="n">
        <v>132.82</v>
      </c>
      <c r="F30" s="3" t="n">
        <v>143.28</v>
      </c>
      <c r="G30" s="3" t="n">
        <v>8.609999999999999</v>
      </c>
      <c r="H30" s="3" t="n">
        <v>2.14</v>
      </c>
      <c r="I30" s="3" t="n">
        <v>2.2</v>
      </c>
      <c r="J30" s="3" t="n">
        <v>7.27</v>
      </c>
      <c r="K30" s="3" t="n">
        <v>5.07</v>
      </c>
      <c r="L30" s="3" t="n">
        <v>6.38</v>
      </c>
      <c r="M30" s="5" t="n">
        <v>-0.6</v>
      </c>
      <c r="N30" s="3" t="n">
        <v>28.49</v>
      </c>
      <c r="O30" s="3" t="n">
        <v>23.99</v>
      </c>
      <c r="P30" s="3" t="n">
        <v>29.55</v>
      </c>
      <c r="Q30" s="3" t="n">
        <v>4274.58</v>
      </c>
      <c r="R30" s="3" t="n">
        <v>8.34</v>
      </c>
      <c r="S30" s="3" t="n">
        <v>20.7</v>
      </c>
      <c r="T30" s="3" t="n">
        <v>64.81999999999999</v>
      </c>
      <c r="U30" s="3" t="n">
        <v>72.51000000000001</v>
      </c>
      <c r="V30" s="3" t="n">
        <v>72.56</v>
      </c>
      <c r="W30" s="3" t="n">
        <v>42.98</v>
      </c>
      <c r="X30" s="3" t="n">
        <v>1.91</v>
      </c>
      <c r="Y30" s="3" t="n">
        <v>66.06</v>
      </c>
      <c r="Z30" s="3" t="n">
        <v>1.15</v>
      </c>
      <c r="AA30" s="3" t="n">
        <v>8.949999999999999</v>
      </c>
      <c r="AB30" s="5" t="n">
        <v>0.43</v>
      </c>
      <c r="AC30" s="3" t="n">
        <v/>
      </c>
      <c r="AD30" s="3" t="n">
        <v>5.12</v>
      </c>
      <c r="AE30" s="3" t="n">
        <v>66.25</v>
      </c>
    </row>
    <row r="31">
      <c r="A31" s="6" t="n">
        <v>46078.57148148148</v>
      </c>
      <c r="B31" s="7" t="n">
        <v>77.65000000000001</v>
      </c>
      <c r="C31" s="7" t="n">
        <v>99.95999999999999</v>
      </c>
      <c r="D31" s="8" t="n">
        <v>1.29</v>
      </c>
      <c r="E31" s="7" t="n">
        <v>139.58</v>
      </c>
      <c r="F31" s="7" t="n">
        <v>152.8</v>
      </c>
      <c r="G31" s="7" t="n">
        <v>-3.42</v>
      </c>
      <c r="H31" s="7" t="n">
        <v>-7.87</v>
      </c>
      <c r="I31" s="7" t="n">
        <v>3.6</v>
      </c>
      <c r="J31" s="7" t="n">
        <v>-4.39</v>
      </c>
      <c r="K31" s="7" t="n">
        <v>-7.99</v>
      </c>
      <c r="L31" s="7" t="n">
        <v>-2.74</v>
      </c>
      <c r="M31" s="9" t="n">
        <v>-0.4</v>
      </c>
      <c r="N31" s="7" t="n">
        <v>24.5</v>
      </c>
      <c r="O31" s="7" t="n">
        <v>19.76</v>
      </c>
      <c r="P31" s="7" t="n">
        <v>26.05</v>
      </c>
      <c r="Q31" s="7" t="n">
        <v>4938.54</v>
      </c>
      <c r="R31" s="7" t="n">
        <v>-14.93</v>
      </c>
      <c r="S31" s="7" t="n">
        <v>-41.57</v>
      </c>
      <c r="T31" s="7" t="n">
        <v>-61.42</v>
      </c>
      <c r="U31" s="7" t="n">
        <v>-73.31</v>
      </c>
      <c r="V31" s="7" t="n">
        <v>65.29000000000001</v>
      </c>
      <c r="W31" s="7" t="n">
        <v>39.76</v>
      </c>
      <c r="X31" s="7" t="n">
        <v>3.28</v>
      </c>
      <c r="Y31" s="7" t="n">
        <v>66.38</v>
      </c>
      <c r="Z31" s="7" t="n">
        <v>1.22</v>
      </c>
      <c r="AA31" s="7" t="n">
        <v>-16.54</v>
      </c>
      <c r="AB31" s="9" t="n">
        <v>0.24</v>
      </c>
      <c r="AC31" s="7" t="n">
        <v/>
      </c>
      <c r="AD31" s="7" t="n">
        <v>5.04</v>
      </c>
      <c r="AE31" s="7" t="n">
        <v>67.18000000000001</v>
      </c>
    </row>
    <row r="32">
      <c r="A32" s="2" t="n">
        <v>46078.57173611111</v>
      </c>
      <c r="B32" s="3" t="n">
        <v>75.12</v>
      </c>
      <c r="C32" s="3" t="n">
        <v>101.06</v>
      </c>
      <c r="D32" s="4" t="n">
        <v>1.35</v>
      </c>
      <c r="E32" s="3" t="n">
        <v>143.81</v>
      </c>
      <c r="F32" s="3" t="n">
        <v>159.38</v>
      </c>
      <c r="G32" s="3" t="n">
        <v>5.12</v>
      </c>
      <c r="H32" s="3" t="n">
        <v>5.9</v>
      </c>
      <c r="I32" s="3" t="n">
        <v>4.2</v>
      </c>
      <c r="J32" s="3" t="n">
        <v>-2.39</v>
      </c>
      <c r="K32" s="3" t="n">
        <v>-6.59</v>
      </c>
      <c r="L32" s="3" t="n">
        <v>-1.19</v>
      </c>
      <c r="M32" s="5" t="n">
        <v>-1.4</v>
      </c>
      <c r="N32" s="3" t="n">
        <v>23.62</v>
      </c>
      <c r="O32" s="3" t="n">
        <v>19.4</v>
      </c>
      <c r="P32" s="3" t="n">
        <v>25.95</v>
      </c>
      <c r="Q32" s="3" t="n">
        <v>4372.3</v>
      </c>
      <c r="R32" s="3" t="n">
        <v>-12.5</v>
      </c>
      <c r="S32" s="3" t="n">
        <v>-34.78</v>
      </c>
      <c r="T32" s="3" t="n">
        <v>-43.73</v>
      </c>
      <c r="U32" s="3" t="n">
        <v>-53.77</v>
      </c>
      <c r="V32" s="3" t="n">
        <v>64.98</v>
      </c>
      <c r="W32" s="3" t="n">
        <v>38.76</v>
      </c>
      <c r="X32" s="3" t="n">
        <v>3.5</v>
      </c>
      <c r="Y32" s="3" t="n">
        <v>69.92</v>
      </c>
      <c r="Z32" s="3" t="n">
        <v>1.27</v>
      </c>
      <c r="AA32" s="3" t="n">
        <v>-13.71</v>
      </c>
      <c r="AB32" s="5" t="n">
        <v>1.34</v>
      </c>
      <c r="AC32" s="3" t="n">
        <v/>
      </c>
      <c r="AD32" s="3" t="n">
        <v>5.04</v>
      </c>
      <c r="AE32" s="3" t="n">
        <v>68.29000000000001</v>
      </c>
    </row>
    <row r="33">
      <c r="A33" s="6" t="n">
        <v>46078.57189814815</v>
      </c>
      <c r="B33" s="7" t="n">
        <v>76.11</v>
      </c>
      <c r="C33" s="7" t="n">
        <v>97.44</v>
      </c>
      <c r="D33" s="8" t="n">
        <v>1.28</v>
      </c>
      <c r="E33" s="7" t="n">
        <v>139.16</v>
      </c>
      <c r="F33" s="7" t="n">
        <v>151.08</v>
      </c>
      <c r="G33" s="7" t="n">
        <v>9.109999999999999</v>
      </c>
      <c r="H33" s="7" t="n">
        <v>-9.5</v>
      </c>
      <c r="I33" s="7" t="n">
        <v>2.4</v>
      </c>
      <c r="J33" s="7" t="n">
        <v>4.3</v>
      </c>
      <c r="K33" s="7" t="n">
        <v>1.9</v>
      </c>
      <c r="L33" s="7" t="n">
        <v>3.98</v>
      </c>
      <c r="M33" s="9" t="n">
        <v>-1.2</v>
      </c>
      <c r="N33" s="7" t="n">
        <v>26.48</v>
      </c>
      <c r="O33" s="7" t="n">
        <v>22.12</v>
      </c>
      <c r="P33" s="7" t="n">
        <v>27.75</v>
      </c>
      <c r="Q33" s="7" t="n">
        <v>4224.69</v>
      </c>
      <c r="R33" s="7" t="n">
        <v>3.21</v>
      </c>
      <c r="S33" s="7" t="n">
        <v>8.529999999999999</v>
      </c>
      <c r="T33" s="7" t="n">
        <v>37.47</v>
      </c>
      <c r="U33" s="7" t="n">
        <v>41.79</v>
      </c>
      <c r="V33" s="7" t="n">
        <v>71.09999999999999</v>
      </c>
      <c r="W33" s="7" t="n">
        <v>41.62</v>
      </c>
      <c r="X33" s="7" t="n">
        <v>1.94</v>
      </c>
      <c r="Y33" s="7" t="n">
        <v>67.27</v>
      </c>
      <c r="Z33" s="7" t="n">
        <v>1.22</v>
      </c>
      <c r="AA33" s="7" t="n">
        <v>3.46</v>
      </c>
      <c r="AB33" s="9" t="n">
        <v>0.98</v>
      </c>
      <c r="AC33" s="7" t="n">
        <v/>
      </c>
      <c r="AD33" s="7" t="n">
        <v>5.15</v>
      </c>
      <c r="AE33" s="7" t="n">
        <v>67.23</v>
      </c>
    </row>
    <row r="34">
      <c r="A34" s="2" t="n">
        <v>46078.57256944444</v>
      </c>
      <c r="B34" s="3" t="n">
        <v>77.44</v>
      </c>
      <c r="C34" s="3" t="n">
        <v>104.05</v>
      </c>
      <c r="D34" s="4" t="n">
        <v>1.34</v>
      </c>
      <c r="E34" s="3" t="n">
        <v>151.1</v>
      </c>
      <c r="F34" s="3" t="n">
        <v>159.09</v>
      </c>
      <c r="G34" s="3" t="n">
        <v>3.93</v>
      </c>
      <c r="H34" s="3" t="n">
        <v>-3.22</v>
      </c>
      <c r="I34" s="3" t="n">
        <v>4</v>
      </c>
      <c r="J34" s="3" t="n">
        <v>2.53</v>
      </c>
      <c r="K34" s="3" t="n">
        <v>-1.47</v>
      </c>
      <c r="L34" s="3" t="n">
        <v>2.81</v>
      </c>
      <c r="M34" s="5" t="n">
        <v>-0.6</v>
      </c>
      <c r="N34" s="3" t="n">
        <v>26.67</v>
      </c>
      <c r="O34" s="3" t="n">
        <v>22.16</v>
      </c>
      <c r="P34" s="3" t="n">
        <v>27.48</v>
      </c>
      <c r="Q34" s="3" t="n">
        <v>4656.93</v>
      </c>
      <c r="R34" s="3" t="n">
        <v>-2.72</v>
      </c>
      <c r="S34" s="3" t="n">
        <v>-8.9</v>
      </c>
      <c r="T34" s="3" t="n">
        <v>13.32</v>
      </c>
      <c r="U34" s="3" t="n">
        <v>13.17</v>
      </c>
      <c r="V34" s="3" t="n">
        <v>84.33</v>
      </c>
      <c r="W34" s="3" t="n">
        <v>44.84</v>
      </c>
      <c r="X34" s="3" t="n">
        <v>3.68</v>
      </c>
      <c r="Y34" s="3" t="n">
        <v>66.92</v>
      </c>
      <c r="Z34" s="3" t="n">
        <v>1.19</v>
      </c>
      <c r="AA34" s="3" t="n">
        <v>-2.97</v>
      </c>
      <c r="AB34" s="5" t="n">
        <v>0.55</v>
      </c>
      <c r="AC34" s="3" t="n">
        <v/>
      </c>
      <c r="AD34" s="3" t="n">
        <v>5.62</v>
      </c>
      <c r="AE34" s="3" t="n">
        <v>68.73999999999999</v>
      </c>
    </row>
    <row r="35">
      <c r="A35" s="6" t="n">
        <v>46078.57204861111</v>
      </c>
      <c r="B35" s="7" t="n">
        <v>75.98999999999999</v>
      </c>
      <c r="C35" s="7" t="n">
        <v>95.11</v>
      </c>
      <c r="D35" s="8" t="n">
        <v>1.25</v>
      </c>
      <c r="E35" s="7" t="n">
        <v>135.47</v>
      </c>
      <c r="F35" s="7" t="n">
        <v>147.25</v>
      </c>
      <c r="G35" s="7" t="n">
        <v>5.77</v>
      </c>
      <c r="H35" s="7" t="n">
        <v>-12.57</v>
      </c>
      <c r="I35" s="7" t="n">
        <v>3.2</v>
      </c>
      <c r="J35" s="7" t="n">
        <v>5.8</v>
      </c>
      <c r="K35" s="7" t="n">
        <v>2.6</v>
      </c>
      <c r="L35" s="7" t="n">
        <v>5.34</v>
      </c>
      <c r="M35" s="9" t="n">
        <v>0</v>
      </c>
      <c r="N35" s="7" t="n">
        <v>27.62</v>
      </c>
      <c r="O35" s="7" t="n">
        <v>23.39</v>
      </c>
      <c r="P35" s="7" t="n">
        <v>27.84</v>
      </c>
      <c r="Q35" s="7" t="n">
        <v>4008.18</v>
      </c>
      <c r="R35" s="7" t="n">
        <v>4.67</v>
      </c>
      <c r="S35" s="7" t="n">
        <v>11.63</v>
      </c>
      <c r="T35" s="7" t="n">
        <v>49.42</v>
      </c>
      <c r="U35" s="7" t="n">
        <v>55.22</v>
      </c>
      <c r="V35" s="7" t="n">
        <v>71.56999999999999</v>
      </c>
      <c r="W35" s="7" t="n">
        <v>42.1</v>
      </c>
      <c r="X35" s="7" t="n">
        <v>3.06</v>
      </c>
      <c r="Y35" s="7" t="n">
        <v>67.83</v>
      </c>
      <c r="Z35" s="7" t="n">
        <v>1.19</v>
      </c>
      <c r="AA35" s="7" t="n">
        <v>5.02</v>
      </c>
      <c r="AB35" s="9" t="n">
        <v>-0.04</v>
      </c>
      <c r="AC35" s="7" t="n">
        <v/>
      </c>
      <c r="AD35" s="7" t="n">
        <v>5.11</v>
      </c>
      <c r="AE35" s="7" t="n">
        <v>67.73</v>
      </c>
    </row>
    <row r="36">
      <c r="A36" s="2" t="n">
        <v>46078.57302083333</v>
      </c>
      <c r="B36" s="3" t="n">
        <v>77.73999999999999</v>
      </c>
      <c r="C36" s="3" t="n">
        <v>97.91</v>
      </c>
      <c r="D36" s="4" t="n">
        <v>1.26</v>
      </c>
      <c r="E36" s="3" t="n">
        <v>137.83</v>
      </c>
      <c r="F36" s="3" t="n">
        <v>144.55</v>
      </c>
      <c r="G36" s="3" t="n">
        <v>4.65</v>
      </c>
      <c r="H36" s="3" t="n">
        <v>-2.2</v>
      </c>
      <c r="I36" s="3" t="n">
        <v>2.2</v>
      </c>
      <c r="J36" s="3" t="n">
        <v>7.39</v>
      </c>
      <c r="K36" s="3" t="n">
        <v>5.19</v>
      </c>
      <c r="L36" s="3" t="n">
        <v>6.38</v>
      </c>
      <c r="M36" s="5" t="n">
        <v>0.2</v>
      </c>
      <c r="N36" s="3" t="n">
        <v>29.47</v>
      </c>
      <c r="O36" s="3" t="n">
        <v>24.51</v>
      </c>
      <c r="P36" s="3" t="n">
        <v>29.68</v>
      </c>
      <c r="Q36" s="3" t="n">
        <v>4895.45</v>
      </c>
      <c r="R36" s="3" t="n">
        <v>8.56</v>
      </c>
      <c r="S36" s="3" t="n">
        <v>24.51</v>
      </c>
      <c r="T36" s="3" t="n">
        <v>70.23999999999999</v>
      </c>
      <c r="U36" s="3" t="n">
        <v>76.06</v>
      </c>
      <c r="V36" s="3" t="n">
        <v>82.31</v>
      </c>
      <c r="W36" s="3" t="n">
        <v>45.94</v>
      </c>
      <c r="X36" s="3" t="n">
        <v>2.24</v>
      </c>
      <c r="Y36" s="3" t="n">
        <v>66.61</v>
      </c>
      <c r="Z36" s="3" t="n">
        <v>1.15</v>
      </c>
      <c r="AA36" s="3" t="n">
        <v>9.15</v>
      </c>
      <c r="AB36" s="5" t="n">
        <v>-0.31</v>
      </c>
      <c r="AC36" s="3" t="n">
        <v/>
      </c>
      <c r="AD36" s="3" t="n">
        <v>5.44</v>
      </c>
      <c r="AE36" s="3" t="n">
        <v>67.55</v>
      </c>
    </row>
    <row r="37">
      <c r="A37" s="6" t="n">
        <v>46078.57239583333</v>
      </c>
      <c r="B37" s="7" t="n">
        <v>75.84</v>
      </c>
      <c r="C37" s="7" t="n">
        <v>93.09</v>
      </c>
      <c r="D37" s="8" t="n">
        <v>1.23</v>
      </c>
      <c r="E37" s="7" t="n">
        <v>131.98</v>
      </c>
      <c r="F37" s="7" t="n">
        <v>147.69</v>
      </c>
      <c r="G37" s="7" t="n">
        <v>10.84</v>
      </c>
      <c r="H37" s="7" t="n">
        <v>-5.93</v>
      </c>
      <c r="I37" s="7" t="n">
        <v>2.2</v>
      </c>
      <c r="J37" s="7" t="n">
        <v>3.1</v>
      </c>
      <c r="K37" s="7" t="n">
        <v>0.9</v>
      </c>
      <c r="L37" s="7" t="n">
        <v>2.96</v>
      </c>
      <c r="M37" s="9" t="n">
        <v>-1</v>
      </c>
      <c r="N37" s="7" t="n">
        <v>26.4</v>
      </c>
      <c r="O37" s="7" t="n">
        <v>22.52</v>
      </c>
      <c r="P37" s="7" t="n">
        <v>27.52</v>
      </c>
      <c r="Q37" s="7" t="n">
        <v>3586.58</v>
      </c>
      <c r="R37" s="7" t="n">
        <v>1.57</v>
      </c>
      <c r="S37" s="7" t="n">
        <v>3.49</v>
      </c>
      <c r="T37" s="7" t="n">
        <v>23.95</v>
      </c>
      <c r="U37" s="7" t="n">
        <v>27.34</v>
      </c>
      <c r="V37" s="7" t="n">
        <v>64.01000000000001</v>
      </c>
      <c r="W37" s="7" t="n">
        <v>39.39</v>
      </c>
      <c r="X37" s="7" t="n">
        <v>1.75</v>
      </c>
      <c r="Y37" s="7" t="n">
        <v>69.41</v>
      </c>
      <c r="Z37" s="7" t="n">
        <v>1.19</v>
      </c>
      <c r="AA37" s="7" t="n">
        <v>1.7</v>
      </c>
      <c r="AB37" s="9" t="n">
        <v>0.83</v>
      </c>
      <c r="AC37" s="7" t="n">
        <v/>
      </c>
      <c r="AD37" s="7" t="n">
        <v>4.84</v>
      </c>
      <c r="AE37" s="7" t="n">
        <v>68.27</v>
      </c>
    </row>
    <row r="38">
      <c r="A38" s="2" t="n">
        <v>46078.57545138889</v>
      </c>
      <c r="B38" s="3" t="n">
        <v>78.29000000000001</v>
      </c>
      <c r="C38" s="3" t="n">
        <v>98.75</v>
      </c>
      <c r="D38" s="4" t="n">
        <v>1.26</v>
      </c>
      <c r="E38" s="3" t="n">
        <v>137.22</v>
      </c>
      <c r="F38" s="3" t="n">
        <v>144.34</v>
      </c>
      <c r="G38" s="3" t="n">
        <v>-1.53</v>
      </c>
      <c r="H38" s="3" t="n">
        <v>-15.21</v>
      </c>
      <c r="I38" s="3" t="n">
        <v>2</v>
      </c>
      <c r="J38" s="3" t="n">
        <v>3.32</v>
      </c>
      <c r="K38" s="3" t="n">
        <v>1.32</v>
      </c>
      <c r="L38" s="3" t="n">
        <v>3.04</v>
      </c>
      <c r="M38" s="5" t="n">
        <v>-1</v>
      </c>
      <c r="N38" s="3" t="n">
        <v>27.74</v>
      </c>
      <c r="O38" s="3" t="n">
        <v>22.09</v>
      </c>
      <c r="P38" s="3" t="n">
        <v>28.86</v>
      </c>
      <c r="Q38" s="3" t="n">
        <v>5535.03</v>
      </c>
      <c r="R38" s="3" t="n">
        <v>2.14</v>
      </c>
      <c r="S38" s="3" t="n">
        <v>6.28</v>
      </c>
      <c r="T38" s="3" t="n">
        <v>28.11</v>
      </c>
      <c r="U38" s="3" t="n">
        <v>30.24</v>
      </c>
      <c r="V38" s="3" t="n">
        <v>75.73</v>
      </c>
      <c r="W38" s="3" t="n">
        <v>44.4</v>
      </c>
      <c r="X38" s="3" t="n">
        <v>1.46</v>
      </c>
      <c r="Y38" s="3" t="n">
        <v>63.6</v>
      </c>
      <c r="Z38" s="3" t="n">
        <v>1.21</v>
      </c>
      <c r="AA38" s="3" t="n">
        <v>2.31</v>
      </c>
      <c r="AB38" s="5" t="n">
        <v>0.91</v>
      </c>
      <c r="AC38" s="3" t="n">
        <v/>
      </c>
      <c r="AD38" s="3" t="n">
        <v>5.32</v>
      </c>
      <c r="AE38" s="3" t="n">
        <v>68.31999999999999</v>
      </c>
    </row>
    <row r="39">
      <c r="A39" s="6" t="n">
        <v>46078.57271990741</v>
      </c>
      <c r="B39" s="7" t="n">
        <v>77.05</v>
      </c>
      <c r="C39" s="7" t="n">
        <v>98.86</v>
      </c>
      <c r="D39" s="8" t="n">
        <v>1.28</v>
      </c>
      <c r="E39" s="7" t="n">
        <v>136.09</v>
      </c>
      <c r="F39" s="7" t="n">
        <v>144.47</v>
      </c>
      <c r="G39" s="7" t="n">
        <v>-4.57</v>
      </c>
      <c r="H39" s="7" t="n">
        <v>8.58</v>
      </c>
      <c r="I39" s="7" t="n">
        <v>2.2</v>
      </c>
      <c r="J39" s="7" t="n">
        <v>3.69</v>
      </c>
      <c r="K39" s="7" t="n">
        <v>1.49</v>
      </c>
      <c r="L39" s="7" t="n">
        <v>3.36</v>
      </c>
      <c r="M39" s="9" t="n">
        <v>-1.8</v>
      </c>
      <c r="N39" s="7" t="n">
        <v>26.37</v>
      </c>
      <c r="O39" s="7" t="n">
        <v>20.44</v>
      </c>
      <c r="P39" s="7" t="n">
        <v>28.26</v>
      </c>
      <c r="Q39" s="7" t="n">
        <v>5822.9</v>
      </c>
      <c r="R39" s="7" t="n">
        <v>2.43</v>
      </c>
      <c r="S39" s="7" t="n">
        <v>7.08</v>
      </c>
      <c r="T39" s="7" t="n">
        <v>30.97</v>
      </c>
      <c r="U39" s="7" t="n">
        <v>33.73</v>
      </c>
      <c r="V39" s="7" t="n">
        <v>69.67</v>
      </c>
      <c r="W39" s="7" t="n">
        <v>42.63</v>
      </c>
      <c r="X39" s="7" t="n">
        <v>1.29</v>
      </c>
      <c r="Y39" s="7" t="n">
        <v>63.64</v>
      </c>
      <c r="Z39" s="7" t="n">
        <v>1.21</v>
      </c>
      <c r="AA39" s="7" t="n">
        <v>2.69</v>
      </c>
      <c r="AB39" s="9" t="n">
        <v>1.61</v>
      </c>
      <c r="AC39" s="7" t="n">
        <v/>
      </c>
      <c r="AD39" s="7" t="n">
        <v>5.18</v>
      </c>
      <c r="AE39" s="7" t="n">
        <v>66.63</v>
      </c>
    </row>
    <row r="40">
      <c r="A40" s="2" t="n">
        <v>46078.57319444444</v>
      </c>
      <c r="B40" s="3" t="n">
        <v>76.95</v>
      </c>
      <c r="C40" s="3" t="n">
        <v>95.73</v>
      </c>
      <c r="D40" s="4" t="n">
        <v>1.24</v>
      </c>
      <c r="E40" s="3" t="n">
        <v>131.57</v>
      </c>
      <c r="F40" s="3" t="n">
        <v>141.18</v>
      </c>
      <c r="G40" s="3" t="n">
        <v>-1.93</v>
      </c>
      <c r="H40" s="3" t="n">
        <v>-12.65</v>
      </c>
      <c r="I40" s="3" t="n">
        <v>1.8</v>
      </c>
      <c r="J40" s="3" t="n">
        <v>2.12</v>
      </c>
      <c r="K40" s="3" t="n">
        <v>0.32</v>
      </c>
      <c r="L40" s="3" t="n">
        <v>2.03</v>
      </c>
      <c r="M40" s="5" t="n">
        <v>-1.4</v>
      </c>
      <c r="N40" s="3" t="n">
        <v>27.01</v>
      </c>
      <c r="O40" s="3" t="n">
        <v>21.35</v>
      </c>
      <c r="P40" s="3" t="n">
        <v>28.54</v>
      </c>
      <c r="Q40" s="3" t="n">
        <v>5375.77</v>
      </c>
      <c r="R40" s="3" t="n">
        <v>0.6899999999999999</v>
      </c>
      <c r="S40" s="3" t="n">
        <v>1.82</v>
      </c>
      <c r="T40" s="3" t="n">
        <v>15.81</v>
      </c>
      <c r="U40" s="3" t="n">
        <v>17.21</v>
      </c>
      <c r="V40" s="3" t="n">
        <v>67.25</v>
      </c>
      <c r="W40" s="3" t="n">
        <v>42.05</v>
      </c>
      <c r="X40" s="3" t="n">
        <v>0.93</v>
      </c>
      <c r="Y40" s="3" t="n">
        <v>64.27</v>
      </c>
      <c r="Z40" s="3" t="n">
        <v>1.2</v>
      </c>
      <c r="AA40" s="3" t="n">
        <v>0.74</v>
      </c>
      <c r="AB40" s="5" t="n">
        <v>1.3</v>
      </c>
      <c r="AC40" s="3" t="n">
        <v/>
      </c>
      <c r="AD40" s="3" t="n">
        <v>5.05</v>
      </c>
      <c r="AE40" s="3" t="n">
        <v>70.52</v>
      </c>
    </row>
    <row r="41">
      <c r="A41" s="6" t="n">
        <v>46078.57438657407</v>
      </c>
      <c r="B41" s="7" t="n">
        <v>77.8</v>
      </c>
      <c r="C41" s="7" t="n">
        <v>102.78</v>
      </c>
      <c r="D41" s="8" t="n">
        <v>1.32</v>
      </c>
      <c r="E41" s="7" t="n">
        <v>145.13</v>
      </c>
      <c r="F41" s="7" t="n">
        <v>150.09</v>
      </c>
      <c r="G41" s="7" t="n">
        <v>2.36</v>
      </c>
      <c r="H41" s="7" t="n">
        <v>0.29</v>
      </c>
      <c r="I41" s="7" t="n">
        <v>2.2</v>
      </c>
      <c r="J41" s="7" t="n">
        <v>4.17</v>
      </c>
      <c r="K41" s="7" t="n">
        <v>1.97</v>
      </c>
      <c r="L41" s="7" t="n">
        <v>3.76</v>
      </c>
      <c r="M41" s="9" t="n">
        <v>-1.8</v>
      </c>
      <c r="N41" s="7" t="n">
        <v>28.65</v>
      </c>
      <c r="O41" s="7" t="n">
        <v>23.32</v>
      </c>
      <c r="P41" s="7" t="n">
        <v>30.6</v>
      </c>
      <c r="Q41" s="7" t="n">
        <v>5449</v>
      </c>
      <c r="R41" s="7" t="n">
        <v>3.27</v>
      </c>
      <c r="S41" s="7" t="n">
        <v>10.79</v>
      </c>
      <c r="T41" s="7" t="n">
        <v>39.32</v>
      </c>
      <c r="U41" s="7" t="n">
        <v>41.57</v>
      </c>
      <c r="V41" s="7" t="n">
        <v>88.31</v>
      </c>
      <c r="W41" s="7" t="n">
        <v>47.22</v>
      </c>
      <c r="X41" s="7" t="n">
        <v>1.02</v>
      </c>
      <c r="Y41" s="7" t="n">
        <v>60.84</v>
      </c>
      <c r="Z41" s="7" t="n">
        <v>1.2</v>
      </c>
      <c r="AA41" s="7" t="n">
        <v>3.53</v>
      </c>
      <c r="AB41" s="9" t="n">
        <v>1.69</v>
      </c>
      <c r="AC41" s="7" t="n">
        <v/>
      </c>
      <c r="AD41" s="7" t="n">
        <v>5.69</v>
      </c>
      <c r="AE41" s="7" t="n">
        <v>67.17</v>
      </c>
    </row>
    <row r="42">
      <c r="A42" s="2" t="n">
        <v>46078.57469907407</v>
      </c>
      <c r="B42" s="3" t="n">
        <v>77.06</v>
      </c>
      <c r="C42" s="3" t="n">
        <v>96</v>
      </c>
      <c r="D42" s="4" t="n">
        <v>1.25</v>
      </c>
      <c r="E42" s="3" t="n">
        <v>132.6</v>
      </c>
      <c r="F42" s="3" t="n">
        <v>138.58</v>
      </c>
      <c r="G42" s="3" t="n">
        <v>2.72</v>
      </c>
      <c r="H42" s="3" t="n">
        <v>9.32</v>
      </c>
      <c r="I42" s="3" t="n">
        <v>4.2</v>
      </c>
      <c r="J42" s="3" t="n">
        <v>8.67</v>
      </c>
      <c r="K42" s="3" t="n">
        <v>4.47</v>
      </c>
      <c r="L42" s="3" t="n">
        <v>7.72</v>
      </c>
      <c r="M42" s="5" t="n">
        <v>-0.6</v>
      </c>
      <c r="N42" s="3" t="n">
        <v>30.11</v>
      </c>
      <c r="O42" s="3" t="n">
        <v>24.58</v>
      </c>
      <c r="P42" s="3" t="n">
        <v>31.06</v>
      </c>
      <c r="Q42" s="3" t="n">
        <v>5325.39</v>
      </c>
      <c r="R42" s="3" t="n">
        <v>7.15</v>
      </c>
      <c r="S42" s="3" t="n">
        <v>19.8</v>
      </c>
      <c r="T42" s="3" t="n">
        <v>73.01000000000001</v>
      </c>
      <c r="U42" s="3" t="n">
        <v>78.28</v>
      </c>
      <c r="V42" s="3" t="n">
        <v>79.73999999999999</v>
      </c>
      <c r="W42" s="3" t="n">
        <v>46.12</v>
      </c>
      <c r="X42" s="3" t="n">
        <v>3.75</v>
      </c>
      <c r="Y42" s="3" t="n">
        <v>65</v>
      </c>
      <c r="Z42" s="3" t="n">
        <v>1.16</v>
      </c>
      <c r="AA42" s="3" t="n">
        <v>7.67</v>
      </c>
      <c r="AB42" s="5" t="n">
        <v>0.43</v>
      </c>
      <c r="AC42" s="3" t="n">
        <v/>
      </c>
      <c r="AD42" s="3" t="n">
        <v>5.35</v>
      </c>
      <c r="AE42" s="3" t="n">
        <v>64.48999999999999</v>
      </c>
    </row>
    <row r="43">
      <c r="A43" s="6" t="n">
        <v>46078.57530092593</v>
      </c>
      <c r="B43" s="7" t="n">
        <v>77.88</v>
      </c>
      <c r="C43" s="7" t="n">
        <v>102.9</v>
      </c>
      <c r="D43" s="8" t="n">
        <v>1.32</v>
      </c>
      <c r="E43" s="7" t="n">
        <v>148.04</v>
      </c>
      <c r="F43" s="7" t="n">
        <v>155.44</v>
      </c>
      <c r="G43" s="7" t="n">
        <v>2.45</v>
      </c>
      <c r="H43" s="7" t="n">
        <v>-7.24</v>
      </c>
      <c r="I43" s="7" t="n">
        <v>1.6</v>
      </c>
      <c r="J43" s="7" t="n">
        <v>1.57</v>
      </c>
      <c r="K43" s="7" t="n">
        <v>-0.03</v>
      </c>
      <c r="L43" s="7" t="n">
        <v>1.58</v>
      </c>
      <c r="M43" s="9" t="n">
        <v>-1.4</v>
      </c>
      <c r="N43" s="7" t="n">
        <v>27.19</v>
      </c>
      <c r="O43" s="7" t="n">
        <v>22.44</v>
      </c>
      <c r="P43" s="7" t="n">
        <v>28.78</v>
      </c>
      <c r="Q43" s="7" t="n">
        <v>4843.72</v>
      </c>
      <c r="R43" s="7" t="n">
        <v>-0.12</v>
      </c>
      <c r="S43" s="7" t="n">
        <v>-0.38</v>
      </c>
      <c r="T43" s="7" t="n">
        <v>11.9</v>
      </c>
      <c r="U43" s="7" t="n">
        <v>12.46</v>
      </c>
      <c r="V43" s="7" t="n">
        <v>83.81999999999999</v>
      </c>
      <c r="W43" s="7" t="n">
        <v>45.18</v>
      </c>
      <c r="X43" s="7" t="n">
        <v>0.86</v>
      </c>
      <c r="Y43" s="7" t="n">
        <v>65.34</v>
      </c>
      <c r="Z43" s="7" t="n">
        <v>1.24</v>
      </c>
      <c r="AA43" s="7" t="n">
        <v>-0.14</v>
      </c>
      <c r="AB43" s="9" t="n">
        <v>1.38</v>
      </c>
      <c r="AC43" s="7" t="n">
        <v/>
      </c>
      <c r="AD43" s="7" t="n">
        <v>5.59</v>
      </c>
      <c r="AE43" s="7" t="n">
        <v>67.31999999999999</v>
      </c>
    </row>
    <row r="44">
      <c r="A44" s="2" t="n">
        <v>46078.57579861111</v>
      </c>
      <c r="B44" s="3" t="n">
        <v>77.40000000000001</v>
      </c>
      <c r="C44" s="3" t="n">
        <v>98.81999999999999</v>
      </c>
      <c r="D44" s="4" t="n">
        <v>1.28</v>
      </c>
      <c r="E44" s="3" t="n">
        <v>138.85</v>
      </c>
      <c r="F44" s="3" t="n">
        <v>144.85</v>
      </c>
      <c r="G44" s="3" t="n">
        <v>3.06</v>
      </c>
      <c r="H44" s="3" t="n">
        <v>-11.1</v>
      </c>
      <c r="I44" s="3" t="n">
        <v>3.4</v>
      </c>
      <c r="J44" s="3" t="n">
        <v>6.78</v>
      </c>
      <c r="K44" s="3" t="n">
        <v>3.38</v>
      </c>
      <c r="L44" s="3" t="n">
        <v>6.14</v>
      </c>
      <c r="M44" s="5" t="n">
        <v>-1.4</v>
      </c>
      <c r="N44" s="3" t="n">
        <v>29.42</v>
      </c>
      <c r="O44" s="3" t="n">
        <v>24.23</v>
      </c>
      <c r="P44" s="3" t="n">
        <v>31.08</v>
      </c>
      <c r="Q44" s="3" t="n">
        <v>5117.97</v>
      </c>
      <c r="R44" s="3" t="n">
        <v>5.22</v>
      </c>
      <c r="S44" s="3" t="n">
        <v>15.48</v>
      </c>
      <c r="T44" s="3" t="n">
        <v>59.9</v>
      </c>
      <c r="U44" s="3" t="n">
        <v>63.93</v>
      </c>
      <c r="V44" s="3" t="n">
        <v>83.67</v>
      </c>
      <c r="W44" s="3" t="n">
        <v>46.42</v>
      </c>
      <c r="X44" s="3" t="n">
        <v>2.67</v>
      </c>
      <c r="Y44" s="3" t="n">
        <v>63.82</v>
      </c>
      <c r="Z44" s="3" t="n">
        <v>1.18</v>
      </c>
      <c r="AA44" s="3" t="n">
        <v>5.59</v>
      </c>
      <c r="AB44" s="5" t="n">
        <v>1.26</v>
      </c>
      <c r="AC44" s="3" t="n">
        <v/>
      </c>
      <c r="AD44" s="3" t="n">
        <v>5.5</v>
      </c>
      <c r="AE44" s="3" t="n">
        <v>67.05</v>
      </c>
    </row>
    <row r="45">
      <c r="A45" s="6" t="n">
        <v>46078.57623842593</v>
      </c>
      <c r="B45" s="7" t="n">
        <v>76.06999999999999</v>
      </c>
      <c r="C45" s="7" t="n">
        <v>104.36</v>
      </c>
      <c r="D45" s="8" t="n">
        <v>1.37</v>
      </c>
      <c r="E45" s="7" t="n">
        <v>151.22</v>
      </c>
      <c r="F45" s="7" t="n">
        <v>165.36</v>
      </c>
      <c r="G45" s="7" t="n">
        <v>4.86</v>
      </c>
      <c r="H45" s="7" t="n">
        <v>1.81</v>
      </c>
      <c r="I45" s="7" t="n">
        <v>3</v>
      </c>
      <c r="J45" s="7" t="n">
        <v>-2.42</v>
      </c>
      <c r="K45" s="7" t="n">
        <v>-5.42</v>
      </c>
      <c r="L45" s="7" t="n">
        <v>-1.45</v>
      </c>
      <c r="M45" s="9" t="n">
        <v>-1.2</v>
      </c>
      <c r="N45" s="7" t="n">
        <v>23.3</v>
      </c>
      <c r="O45" s="7" t="n">
        <v>19.22</v>
      </c>
      <c r="P45" s="7" t="n">
        <v>25.19</v>
      </c>
      <c r="Q45" s="7" t="n">
        <v>4331</v>
      </c>
      <c r="R45" s="7" t="n">
        <v>-10.46</v>
      </c>
      <c r="S45" s="7" t="n">
        <v>-31.93</v>
      </c>
      <c r="T45" s="7" t="n">
        <v>-43.37</v>
      </c>
      <c r="U45" s="7" t="n">
        <v>-51.68</v>
      </c>
      <c r="V45" s="7" t="n">
        <v>69.94</v>
      </c>
      <c r="W45" s="7" t="n">
        <v>39.76</v>
      </c>
      <c r="X45" s="7" t="n">
        <v>2.37</v>
      </c>
      <c r="Y45" s="7" t="n">
        <v>69.53</v>
      </c>
      <c r="Z45" s="7" t="n">
        <v>1.21</v>
      </c>
      <c r="AA45" s="7" t="n">
        <v>-11.59</v>
      </c>
      <c r="AB45" s="9" t="n">
        <v>1.06</v>
      </c>
      <c r="AC45" s="7" t="n">
        <v/>
      </c>
      <c r="AD45" s="7" t="n">
        <v>5.25</v>
      </c>
      <c r="AE45" s="7" t="n">
        <v>70.2</v>
      </c>
    </row>
    <row r="46">
      <c r="A46" s="2" t="n">
        <v>46078.57684027778</v>
      </c>
      <c r="B46" s="3" t="n">
        <v>78.3</v>
      </c>
      <c r="C46" s="3" t="n">
        <v>102.27</v>
      </c>
      <c r="D46" s="4" t="n">
        <v>1.31</v>
      </c>
      <c r="E46" s="3" t="n">
        <v>145.8</v>
      </c>
      <c r="F46" s="3" t="n">
        <v>156.32</v>
      </c>
      <c r="G46" s="3" t="n">
        <v>0.82</v>
      </c>
      <c r="H46" s="3" t="n">
        <v>-14.3</v>
      </c>
      <c r="I46" s="3" t="n">
        <v>1</v>
      </c>
      <c r="J46" s="3" t="n">
        <v>-0.31</v>
      </c>
      <c r="K46" s="3" t="n">
        <v>-1.31</v>
      </c>
      <c r="L46" s="3" t="n">
        <v>-0.07000000000000001</v>
      </c>
      <c r="M46" s="5" t="n">
        <v>-1.8</v>
      </c>
      <c r="N46" s="3" t="n">
        <v>24.94</v>
      </c>
      <c r="O46" s="3" t="n">
        <v>20.09</v>
      </c>
      <c r="P46" s="3" t="n">
        <v>26.84</v>
      </c>
      <c r="Q46" s="3" t="n">
        <v>4921.22</v>
      </c>
      <c r="R46" s="3" t="n">
        <v>-2.19</v>
      </c>
      <c r="S46" s="3" t="n">
        <v>-6.72</v>
      </c>
      <c r="T46" s="3" t="n">
        <v>-7.22</v>
      </c>
      <c r="U46" s="3" t="n">
        <v>-8.550000000000001</v>
      </c>
      <c r="V46" s="3" t="n">
        <v>72.54000000000001</v>
      </c>
      <c r="W46" s="3" t="n">
        <v>41.89</v>
      </c>
      <c r="X46" s="3" t="n">
        <v>0.02</v>
      </c>
      <c r="Y46" s="3" t="n">
        <v>65.78</v>
      </c>
      <c r="Z46" s="3" t="n">
        <v>1.18</v>
      </c>
      <c r="AA46" s="3" t="n">
        <v>-2.46</v>
      </c>
      <c r="AB46" s="5" t="n">
        <v>1.57</v>
      </c>
      <c r="AC46" s="3" t="n">
        <v/>
      </c>
      <c r="AD46" s="3" t="n">
        <v>5.31</v>
      </c>
      <c r="AE46" s="3" t="n">
        <v>69.53</v>
      </c>
    </row>
    <row r="47">
      <c r="A47" s="6" t="n">
        <v>46078.57752314815</v>
      </c>
      <c r="B47" s="7" t="n">
        <v>77.98999999999999</v>
      </c>
      <c r="C47" s="7" t="n">
        <v>100.12</v>
      </c>
      <c r="D47" s="8" t="n">
        <v>1.28</v>
      </c>
      <c r="E47" s="7" t="n">
        <v>144.63</v>
      </c>
      <c r="F47" s="7" t="n">
        <v>160.67</v>
      </c>
      <c r="G47" s="7" t="n">
        <v>6.32</v>
      </c>
      <c r="H47" s="7" t="n">
        <v>-12.05</v>
      </c>
      <c r="I47" s="7" t="n">
        <v>3.6</v>
      </c>
      <c r="J47" s="7" t="n">
        <v>-1.14</v>
      </c>
      <c r="K47" s="7" t="n">
        <v>-4.74</v>
      </c>
      <c r="L47" s="7" t="n">
        <v>-0.34</v>
      </c>
      <c r="M47" s="9" t="n">
        <v>-1.2</v>
      </c>
      <c r="N47" s="7" t="n">
        <v>24.16</v>
      </c>
      <c r="O47" s="7" t="n">
        <v>20.34</v>
      </c>
      <c r="P47" s="7" t="n">
        <v>25.82</v>
      </c>
      <c r="Q47" s="7" t="n">
        <v>3869</v>
      </c>
      <c r="R47" s="7" t="n">
        <v>-9.18</v>
      </c>
      <c r="S47" s="7" t="n">
        <v>-24.67</v>
      </c>
      <c r="T47" s="7" t="n">
        <v>-27.25</v>
      </c>
      <c r="U47" s="7" t="n">
        <v>-33.92</v>
      </c>
      <c r="V47" s="7" t="n">
        <v>66.84999999999999</v>
      </c>
      <c r="W47" s="7" t="n">
        <v>39</v>
      </c>
      <c r="X47" s="7" t="n">
        <v>3.19</v>
      </c>
      <c r="Y47" s="7" t="n">
        <v>69.98999999999999</v>
      </c>
      <c r="Z47" s="7" t="n">
        <v>1.25</v>
      </c>
      <c r="AA47" s="7" t="n">
        <v>-10.17</v>
      </c>
      <c r="AB47" s="9" t="n">
        <v>1.02</v>
      </c>
      <c r="AC47" s="7" t="n">
        <v/>
      </c>
      <c r="AD47" s="7" t="n">
        <v>5.06</v>
      </c>
      <c r="AE47" s="7" t="n">
        <v>67.37</v>
      </c>
    </row>
    <row r="48">
      <c r="A48" s="2" t="n">
        <v>46078.57739583333</v>
      </c>
      <c r="B48" s="3" t="n">
        <v>77.45999999999999</v>
      </c>
      <c r="C48" s="3" t="n">
        <v>97.38</v>
      </c>
      <c r="D48" s="4" t="n">
        <v>1.26</v>
      </c>
      <c r="E48" s="3" t="n">
        <v>139.74</v>
      </c>
      <c r="F48" s="3" t="n">
        <v>152.83</v>
      </c>
      <c r="G48" s="3" t="n">
        <v>7.28</v>
      </c>
      <c r="H48" s="3" t="n">
        <v>0.07000000000000001</v>
      </c>
      <c r="I48" s="3" t="n">
        <v>1.4</v>
      </c>
      <c r="J48" s="3" t="n">
        <v>4.83</v>
      </c>
      <c r="K48" s="3" t="n">
        <v>3.43</v>
      </c>
      <c r="L48" s="3" t="n">
        <v>4.26</v>
      </c>
      <c r="M48" s="5" t="n">
        <v>-1</v>
      </c>
      <c r="N48" s="3" t="n">
        <v>26.19</v>
      </c>
      <c r="O48" s="3" t="n">
        <v>22.1</v>
      </c>
      <c r="P48" s="3" t="n">
        <v>27.52</v>
      </c>
      <c r="Q48" s="3" t="n">
        <v>3984.75</v>
      </c>
      <c r="R48" s="3" t="n">
        <v>6.11</v>
      </c>
      <c r="S48" s="3" t="n">
        <v>15.89</v>
      </c>
      <c r="T48" s="3" t="n">
        <v>46.96</v>
      </c>
      <c r="U48" s="3" t="n">
        <v>53.48</v>
      </c>
      <c r="V48" s="3" t="n">
        <v>70.20999999999999</v>
      </c>
      <c r="W48" s="3" t="n">
        <v>40.99</v>
      </c>
      <c r="X48" s="3" t="n">
        <v>0.93</v>
      </c>
      <c r="Y48" s="3" t="n">
        <v>69.25</v>
      </c>
      <c r="Z48" s="3" t="n">
        <v>1.15</v>
      </c>
      <c r="AA48" s="3" t="n">
        <v>6.66</v>
      </c>
      <c r="AB48" s="5" t="n">
        <v>0.83</v>
      </c>
      <c r="AC48" s="3" t="n">
        <v/>
      </c>
      <c r="AD48" s="3" t="n">
        <v>5.11</v>
      </c>
      <c r="AE48" s="3" t="n">
        <v>67.33</v>
      </c>
    </row>
    <row r="49">
      <c r="A49" s="6" t="n">
        <v>46078.57766203704</v>
      </c>
      <c r="B49" s="7" t="n">
        <v>79.08</v>
      </c>
      <c r="C49" s="7" t="n">
        <v>101.71</v>
      </c>
      <c r="D49" s="8" t="n">
        <v>1.29</v>
      </c>
      <c r="E49" s="7" t="n">
        <v>148.13</v>
      </c>
      <c r="F49" s="7" t="n">
        <v>159.67</v>
      </c>
      <c r="G49" s="7" t="n">
        <v/>
      </c>
      <c r="H49" s="7" t="n">
        <v/>
      </c>
      <c r="I49" s="7" t="n">
        <v>2.4</v>
      </c>
      <c r="J49" s="7" t="n">
        <v>-1.55</v>
      </c>
      <c r="K49" s="7" t="n">
        <v>-3.95</v>
      </c>
      <c r="L49" s="7" t="n">
        <v>-0.87</v>
      </c>
      <c r="M49" s="9" t="n">
        <v>-0.6</v>
      </c>
      <c r="N49" s="7" t="n">
        <v>25.75</v>
      </c>
      <c r="O49" s="7" t="n">
        <v>21.68</v>
      </c>
      <c r="P49" s="7" t="n">
        <v>26.79</v>
      </c>
      <c r="Q49" s="7" t="n">
        <v>4151</v>
      </c>
      <c r="R49" s="7" t="n">
        <v>-7.28</v>
      </c>
      <c r="S49" s="7" t="n">
        <v>-21.49</v>
      </c>
      <c r="T49" s="7" t="n">
        <v>-28.21</v>
      </c>
      <c r="U49" s="7" t="n">
        <v>-32.92</v>
      </c>
      <c r="V49" s="7" t="n">
        <v>76.33</v>
      </c>
      <c r="W49" s="7" t="n">
        <v>42.2</v>
      </c>
      <c r="X49" s="7" t="n">
        <v>2.08</v>
      </c>
      <c r="Y49" s="7" t="n">
        <v>69.44</v>
      </c>
      <c r="Z49" s="7" t="n">
        <v>1.24</v>
      </c>
      <c r="AA49" s="7" t="n">
        <v>-7.94</v>
      </c>
      <c r="AB49" s="9" t="n">
        <v>0.55</v>
      </c>
      <c r="AC49" s="7" t="n">
        <v/>
      </c>
      <c r="AD49" s="7" t="n">
        <v>5.36</v>
      </c>
      <c r="AE49" s="7" t="n">
        <v/>
      </c>
    </row>
    <row r="50">
      <c r="A50" s="2" t="n">
        <v>46078.57335648148</v>
      </c>
      <c r="B50" s="3" t="n">
        <v>77.33</v>
      </c>
      <c r="C50" s="3" t="n">
        <v>103.04</v>
      </c>
      <c r="D50" s="4" t="n">
        <v>1.33</v>
      </c>
      <c r="E50" s="3" t="n">
        <v>146.05</v>
      </c>
      <c r="F50" s="3" t="n">
        <v>153.93</v>
      </c>
      <c r="G50" s="3" t="n">
        <v>1.82</v>
      </c>
      <c r="H50" s="3" t="n">
        <v>-0.05</v>
      </c>
      <c r="I50" s="3" t="n">
        <v>1</v>
      </c>
      <c r="J50" s="3" t="n">
        <v>-0.32</v>
      </c>
      <c r="K50" s="3" t="n">
        <v>-1.32</v>
      </c>
      <c r="L50" s="3" t="n">
        <v>-0.03</v>
      </c>
      <c r="M50" s="5" t="n">
        <v>-1.4</v>
      </c>
      <c r="N50" s="3" t="n">
        <v>26.02</v>
      </c>
      <c r="O50" s="3" t="n">
        <v>20.81</v>
      </c>
      <c r="P50" s="3" t="n">
        <v>27.63</v>
      </c>
      <c r="Q50" s="3" t="n">
        <v>5336.29</v>
      </c>
      <c r="R50" s="3" t="n">
        <v>-2.47</v>
      </c>
      <c r="S50" s="3" t="n">
        <v>-7.94</v>
      </c>
      <c r="T50" s="3" t="n">
        <v>-8.140000000000001</v>
      </c>
      <c r="U50" s="3" t="n">
        <v>-9.41</v>
      </c>
      <c r="V50" s="3" t="n">
        <v>77.81999999999999</v>
      </c>
      <c r="W50" s="3" t="n">
        <v>43.91</v>
      </c>
      <c r="X50" s="3" t="n">
        <v>0.27</v>
      </c>
      <c r="Y50" s="3" t="n">
        <v>64.34999999999999</v>
      </c>
      <c r="Z50" s="3" t="n">
        <v>1.21</v>
      </c>
      <c r="AA50" s="3" t="n">
        <v>-2.71</v>
      </c>
      <c r="AB50" s="5" t="n">
        <v>1.38</v>
      </c>
      <c r="AC50" s="3" t="n">
        <v/>
      </c>
      <c r="AD50" s="3" t="n">
        <v>5.46</v>
      </c>
      <c r="AE50" s="3" t="n">
        <v>69</v>
      </c>
    </row>
    <row r="51">
      <c r="A51" s="6" t="n">
        <v>46078.57454861111</v>
      </c>
      <c r="B51" s="7" t="n">
        <v>78.27</v>
      </c>
      <c r="C51" s="7" t="n">
        <v>96.52</v>
      </c>
      <c r="D51" s="8" t="n">
        <v>1.23</v>
      </c>
      <c r="E51" s="7" t="n">
        <v>131.83</v>
      </c>
      <c r="F51" s="7" t="n">
        <v>145.96</v>
      </c>
      <c r="G51" s="7" t="n">
        <v>-6.84</v>
      </c>
      <c r="H51" s="7" t="n">
        <v>-12.91</v>
      </c>
      <c r="I51" s="7" t="n">
        <v>0.8</v>
      </c>
      <c r="J51" s="7" t="n">
        <v>0.75</v>
      </c>
      <c r="K51" s="7" t="n">
        <v>-0.05</v>
      </c>
      <c r="L51" s="7" t="n">
        <v>0.78</v>
      </c>
      <c r="M51" s="9" t="n">
        <v>-1.4</v>
      </c>
      <c r="N51" s="7" t="n">
        <v>24.34</v>
      </c>
      <c r="O51" s="7" t="n">
        <v>18.81</v>
      </c>
      <c r="P51" s="7" t="n">
        <v>25.89</v>
      </c>
      <c r="Q51" s="7" t="n">
        <v>5287.21</v>
      </c>
      <c r="R51" s="7" t="n">
        <v>-0.2</v>
      </c>
      <c r="S51" s="7" t="n">
        <v>-0.51</v>
      </c>
      <c r="T51" s="7" t="n">
        <v>4.89</v>
      </c>
      <c r="U51" s="7" t="n">
        <v>5.37</v>
      </c>
      <c r="V51" s="7" t="n">
        <v>58.52</v>
      </c>
      <c r="W51" s="7" t="n">
        <v>38.51</v>
      </c>
      <c r="X51" s="7" t="n">
        <v>0.02</v>
      </c>
      <c r="Y51" s="7" t="n">
        <v>62.54</v>
      </c>
      <c r="Z51" s="7" t="n">
        <v>1.19</v>
      </c>
      <c r="AA51" s="7" t="n">
        <v>-0.26</v>
      </c>
      <c r="AB51" s="9" t="n">
        <v>1.34</v>
      </c>
      <c r="AC51" s="7" t="n">
        <v/>
      </c>
      <c r="AD51" s="7" t="n">
        <v>4.82</v>
      </c>
      <c r="AE51" s="7" t="n">
        <v>67.76000000000001</v>
      </c>
    </row>
    <row r="52">
      <c r="A52" s="2" t="n">
        <v>46078.57515046297</v>
      </c>
      <c r="B52" s="3" t="n">
        <v>77.06</v>
      </c>
      <c r="C52" s="3" t="n">
        <v>95.89</v>
      </c>
      <c r="D52" s="4" t="n">
        <v>1.24</v>
      </c>
      <c r="E52" s="3" t="n">
        <v>136.88</v>
      </c>
      <c r="F52" s="3" t="n">
        <v>157.03</v>
      </c>
      <c r="G52" s="3" t="n">
        <v>11.04</v>
      </c>
      <c r="H52" s="3" t="n">
        <v>-8.35</v>
      </c>
      <c r="I52" s="3" t="n">
        <v>4.2</v>
      </c>
      <c r="J52" s="3" t="n">
        <v>-0.7</v>
      </c>
      <c r="K52" s="3" t="n">
        <v>-4.9</v>
      </c>
      <c r="L52" s="3" t="n">
        <v>0.04</v>
      </c>
      <c r="M52" s="5" t="n">
        <v>-0.6</v>
      </c>
      <c r="N52" s="3" t="n">
        <v>24.17</v>
      </c>
      <c r="O52" s="3" t="n">
        <v>20.7</v>
      </c>
      <c r="P52" s="3" t="n">
        <v>25.29</v>
      </c>
      <c r="Q52" s="3" t="n">
        <v>3371.62</v>
      </c>
      <c r="R52" s="3" t="n">
        <v>-9.4</v>
      </c>
      <c r="S52" s="3" t="n">
        <v>-21.34</v>
      </c>
      <c r="T52" s="3" t="n">
        <v>-21.04</v>
      </c>
      <c r="U52" s="3" t="n">
        <v>-27.98</v>
      </c>
      <c r="V52" s="3" t="n">
        <v>60.2</v>
      </c>
      <c r="W52" s="3" t="n">
        <v>36.9</v>
      </c>
      <c r="X52" s="3" t="n">
        <v>3.9</v>
      </c>
      <c r="Y52" s="3" t="n">
        <v>75.5</v>
      </c>
      <c r="Z52" s="3" t="n">
        <v>1.24</v>
      </c>
      <c r="AA52" s="3" t="n">
        <v>-10.36</v>
      </c>
      <c r="AB52" s="5" t="n">
        <v>0.47</v>
      </c>
      <c r="AC52" s="3" t="n">
        <v/>
      </c>
      <c r="AD52" s="3" t="n">
        <v>4.76</v>
      </c>
      <c r="AE52" s="3" t="n">
        <v>70.08</v>
      </c>
    </row>
    <row r="53">
      <c r="A53" s="6" t="n">
        <v>46078.57609953704</v>
      </c>
      <c r="B53" s="7" t="n">
        <v>77.77</v>
      </c>
      <c r="C53" s="7" t="n">
        <v>94.05</v>
      </c>
      <c r="D53" s="8" t="n">
        <v>1.21</v>
      </c>
      <c r="E53" s="7" t="n">
        <v>132.89</v>
      </c>
      <c r="F53" s="7" t="n">
        <v>153.61</v>
      </c>
      <c r="G53" s="7" t="n">
        <v>9.869999999999999</v>
      </c>
      <c r="H53" s="7" t="n">
        <v>-1.17</v>
      </c>
      <c r="I53" s="7" t="n">
        <v>4.6</v>
      </c>
      <c r="J53" s="7" t="n">
        <v>-1.19</v>
      </c>
      <c r="K53" s="7" t="n">
        <v>-5.79</v>
      </c>
      <c r="L53" s="7" t="n">
        <v>-0.26</v>
      </c>
      <c r="M53" s="9" t="n">
        <v>0.4</v>
      </c>
      <c r="N53" s="7" t="n">
        <v>24.51</v>
      </c>
      <c r="O53" s="7" t="n">
        <v>21.06</v>
      </c>
      <c r="P53" s="7" t="n">
        <v>24.82</v>
      </c>
      <c r="Q53" s="7" t="n">
        <v>3321</v>
      </c>
      <c r="R53" s="7" t="n">
        <v>-11.63</v>
      </c>
      <c r="S53" s="7" t="n">
        <v>-24.81</v>
      </c>
      <c r="T53" s="7" t="n">
        <v>-26.63</v>
      </c>
      <c r="U53" s="7" t="n">
        <v>-35.48</v>
      </c>
      <c r="V53" s="7" t="n">
        <v>58.39</v>
      </c>
      <c r="W53" s="7" t="n">
        <v>36.59</v>
      </c>
      <c r="X53" s="7" t="n">
        <v>4.7</v>
      </c>
      <c r="Y53" s="7" t="n">
        <v>74.34</v>
      </c>
      <c r="Z53" s="7" t="n">
        <v>1.25</v>
      </c>
      <c r="AA53" s="7" t="n">
        <v>-12.74</v>
      </c>
      <c r="AB53" s="9" t="n">
        <v>-0.47</v>
      </c>
      <c r="AC53" s="7" t="n">
        <v/>
      </c>
      <c r="AD53" s="7" t="n">
        <v>4.66</v>
      </c>
      <c r="AE53" s="7" t="n">
        <v>67.72</v>
      </c>
    </row>
    <row r="54">
      <c r="A54" s="2" t="n">
        <v>46078.57671296296</v>
      </c>
      <c r="B54" s="3" t="n">
        <v>77.37</v>
      </c>
      <c r="C54" s="3" t="n">
        <v>101.97</v>
      </c>
      <c r="D54" s="4" t="n">
        <v>1.32</v>
      </c>
      <c r="E54" s="3" t="n">
        <v>145.49</v>
      </c>
      <c r="F54" s="3" t="n">
        <v>160.08</v>
      </c>
      <c r="G54" s="3" t="n">
        <v>-1.4</v>
      </c>
      <c r="H54" s="3" t="n">
        <v>-12.59</v>
      </c>
      <c r="I54" s="3" t="n">
        <v>3.4</v>
      </c>
      <c r="J54" s="3" t="n">
        <v>-2.3</v>
      </c>
      <c r="K54" s="3" t="n">
        <v>-5.7</v>
      </c>
      <c r="L54" s="3" t="n">
        <v>-1.21</v>
      </c>
      <c r="M54" s="5" t="n">
        <v>-1.6</v>
      </c>
      <c r="N54" s="3" t="n">
        <v>23.58</v>
      </c>
      <c r="O54" s="3" t="n">
        <v>19.26</v>
      </c>
      <c r="P54" s="3" t="n">
        <v>25.89</v>
      </c>
      <c r="Q54" s="3" t="n">
        <v>4486.32</v>
      </c>
      <c r="R54" s="3" t="n">
        <v>-10.95</v>
      </c>
      <c r="S54" s="3" t="n">
        <v>-31.53</v>
      </c>
      <c r="T54" s="3" t="n">
        <v>-40.74</v>
      </c>
      <c r="U54" s="3" t="n">
        <v>-49.4</v>
      </c>
      <c r="V54" s="3" t="n">
        <v>66.42</v>
      </c>
      <c r="W54" s="3" t="n">
        <v>39.25</v>
      </c>
      <c r="X54" s="3" t="n">
        <v>2.71</v>
      </c>
      <c r="Y54" s="3" t="n">
        <v>66.61</v>
      </c>
      <c r="Z54" s="3" t="n">
        <v>1.2</v>
      </c>
      <c r="AA54" s="3" t="n">
        <v>-12.21</v>
      </c>
      <c r="AB54" s="5" t="n">
        <v>1.42</v>
      </c>
      <c r="AC54" s="3" t="n">
        <v/>
      </c>
      <c r="AD54" s="3" t="n">
        <v>5.11</v>
      </c>
      <c r="AE54" s="3" t="n">
        <v>67.75</v>
      </c>
    </row>
    <row r="55">
      <c r="A55" s="6" t="n">
        <v>46078.57697916667</v>
      </c>
      <c r="B55" s="7" t="n">
        <v>78.83</v>
      </c>
      <c r="C55" s="7" t="n">
        <v>103.94</v>
      </c>
      <c r="D55" s="8" t="n">
        <v>1.32</v>
      </c>
      <c r="E55" s="7" t="n">
        <v>149.76</v>
      </c>
      <c r="F55" s="7" t="n">
        <v>159.41</v>
      </c>
      <c r="G55" s="7" t="n">
        <v>3.72</v>
      </c>
      <c r="H55" s="7" t="n">
        <v>-12.09</v>
      </c>
      <c r="I55" s="7" t="n">
        <v>3.2</v>
      </c>
      <c r="J55" s="7" t="n">
        <v>-0.09</v>
      </c>
      <c r="K55" s="7" t="n">
        <v>-3.29</v>
      </c>
      <c r="L55" s="7" t="n">
        <v>0.5600000000000001</v>
      </c>
      <c r="M55" s="9" t="n">
        <v>-1.2</v>
      </c>
      <c r="N55" s="7" t="n">
        <v>25.31</v>
      </c>
      <c r="O55" s="7" t="n">
        <v>20.69</v>
      </c>
      <c r="P55" s="7" t="n">
        <v>26.73</v>
      </c>
      <c r="Q55" s="7" t="n">
        <v>4804.49</v>
      </c>
      <c r="R55" s="7" t="n">
        <v>-6.15</v>
      </c>
      <c r="S55" s="7" t="n">
        <v>-19.72</v>
      </c>
      <c r="T55" s="7" t="n">
        <v>-15.33</v>
      </c>
      <c r="U55" s="7" t="n">
        <v>-18.48</v>
      </c>
      <c r="V55" s="7" t="n">
        <v>77.56999999999999</v>
      </c>
      <c r="W55" s="7" t="n">
        <v>42.98</v>
      </c>
      <c r="X55" s="7" t="n">
        <v>2.75</v>
      </c>
      <c r="Y55" s="7" t="n">
        <v>67.75</v>
      </c>
      <c r="Z55" s="7" t="n">
        <v>1.25</v>
      </c>
      <c r="AA55" s="7" t="n">
        <v>-6.83</v>
      </c>
      <c r="AB55" s="9" t="n">
        <v>1.02</v>
      </c>
      <c r="AC55" s="7" t="n">
        <v/>
      </c>
      <c r="AD55" s="7" t="n">
        <v>5.46</v>
      </c>
      <c r="AE55" s="7" t="n">
        <v>70.66</v>
      </c>
    </row>
    <row r="57">
      <c r="A57" s="10" t="inlineStr">
        <is>
          <t>Pos Av</t>
        </is>
      </c>
      <c r="B57" s="11">
        <f>IF(COUNTIF(B2:B55,"&gt;0"),AVERAGEIF(B2:B55,"&gt;0"),"—")</f>
        <v/>
      </c>
      <c r="C57" s="11">
        <f>IF(COUNTIF(C2:C55,"&gt;0"),AVERAGEIF(C2:C55,"&gt;0"),"—")</f>
        <v/>
      </c>
      <c r="D57" s="12">
        <f>IF(COUNTIF(D2:D55,"&gt;0"),AVERAGEIF(D2:D55,"&gt;0"),"—")</f>
        <v/>
      </c>
      <c r="E57" s="11">
        <f>IF(COUNTIF(E2:E55,"&gt;0"),AVERAGEIF(E2:E55,"&gt;0"),"—")</f>
        <v/>
      </c>
      <c r="F57" s="11">
        <f>IF(COUNTIF(F2:F55,"&gt;0"),AVERAGEIF(F2:F55,"&gt;0"),"—")</f>
        <v/>
      </c>
      <c r="G57" s="11">
        <f>IF(COUNTIF(G2:G55,"&gt;0"),AVERAGEIF(G2:G55,"&gt;0"),"—")</f>
        <v/>
      </c>
      <c r="H57" s="11">
        <f>IF(COUNTIF(H2:H55,"&gt;0"),AVERAGEIF(H2:H55,"&gt;0"),"—")</f>
        <v/>
      </c>
      <c r="I57" s="11">
        <f>IF(COUNTIF(I2:I55,"&gt;0"),AVERAGEIF(I2:I55,"&gt;0"),"—")</f>
        <v/>
      </c>
      <c r="J57" s="11">
        <f>IF(COUNTIF(J2:J55,"&gt;0"),AVERAGEIF(J2:J55,"&gt;0"),"—")</f>
        <v/>
      </c>
      <c r="K57" s="11">
        <f>IF(COUNTIF(K2:K55,"&gt;0"),AVERAGEIF(K2:K55,"&gt;0"),"—")</f>
        <v/>
      </c>
      <c r="L57" s="11">
        <f>IF(COUNTIF(L2:L55,"&gt;0"),AVERAGEIF(L2:L55,"&gt;0"),"—")</f>
        <v/>
      </c>
      <c r="M57" s="13">
        <f>IF(COUNTIF(M2:M55,"&gt;0"),AVERAGEIF(M2:M55,"&gt;0"),"—")</f>
        <v/>
      </c>
      <c r="N57" s="11">
        <f>IF(COUNTIF(N2:N55,"&gt;0"),AVERAGEIF(N2:N55,"&gt;0"),"—")</f>
        <v/>
      </c>
      <c r="O57" s="11">
        <f>IF(COUNTIF(O2:O55,"&gt;0"),AVERAGEIF(O2:O55,"&gt;0"),"—")</f>
        <v/>
      </c>
      <c r="P57" s="11">
        <f>IF(COUNTIF(P2:P55,"&gt;0"),AVERAGEIF(P2:P55,"&gt;0"),"—")</f>
        <v/>
      </c>
      <c r="Q57" s="11">
        <f>IF(COUNTIF(Q2:Q55,"&gt;0"),AVERAGEIF(Q2:Q55,"&gt;0"),"—")</f>
        <v/>
      </c>
      <c r="R57" s="11">
        <f>IF(COUNTIF(R2:R55,"&gt;0"),AVERAGEIF(R2:R55,"&gt;0"),"—")</f>
        <v/>
      </c>
      <c r="S57" s="11">
        <f>IF(COUNTIF(S2:S55,"&gt;0"),AVERAGEIF(S2:S55,"&gt;0"),"—")</f>
        <v/>
      </c>
      <c r="T57" s="11">
        <f>IF(COUNTIF(T2:T55,"&gt;0"),AVERAGEIF(T2:T55,"&gt;0"),"—")</f>
        <v/>
      </c>
      <c r="U57" s="11">
        <f>IF(COUNTIF(U2:U55,"&gt;0"),AVERAGEIF(U2:U55,"&gt;0"),"—")</f>
        <v/>
      </c>
      <c r="V57" s="11">
        <f>IF(COUNTIF(V2:V55,"&gt;0"),AVERAGEIF(V2:V55,"&gt;0"),"—")</f>
        <v/>
      </c>
      <c r="W57" s="11">
        <f>IF(COUNTIF(W2:W55,"&gt;0"),AVERAGEIF(W2:W55,"&gt;0"),"—")</f>
        <v/>
      </c>
      <c r="X57" s="11">
        <f>IF(COUNTIF(X2:X55,"&gt;0"),AVERAGEIF(X2:X55,"&gt;0"),"—")</f>
        <v/>
      </c>
      <c r="Y57" s="11">
        <f>IF(COUNTIF(Y2:Y55,"&gt;0"),AVERAGEIF(Y2:Y55,"&gt;0"),"—")</f>
        <v/>
      </c>
      <c r="Z57" s="11">
        <f>IF(COUNTIF(Z2:Z55,"&gt;0"),AVERAGEIF(Z2:Z55,"&gt;0"),"—")</f>
        <v/>
      </c>
      <c r="AA57" s="11">
        <f>IF(COUNTIF(AA2:AA55,"&gt;0"),AVERAGEIF(AA2:AA55,"&gt;0"),"—")</f>
        <v/>
      </c>
      <c r="AB57" s="13">
        <f>IF(COUNTIF(AB2:AB55,"&gt;0"),AVERAGEIF(AB2:AB55,"&gt;0"),"—")</f>
        <v/>
      </c>
      <c r="AC57" s="11">
        <f>IF(COUNTIF(AC2:AC55,"&gt;0"),AVERAGEIF(AC2:AC55,"&gt;0"),"—")</f>
        <v/>
      </c>
      <c r="AD57" s="11">
        <f>IF(COUNTIF(AD2:AD55,"&gt;0"),AVERAGEIF(AD2:AD55,"&gt;0"),"—")</f>
        <v/>
      </c>
      <c r="AE57" s="11">
        <f>IF(COUNTIF(AE2:AE55,"&gt;0"),AVERAGEIF(AE2:AE55,"&gt;0"),"—")</f>
        <v/>
      </c>
    </row>
    <row r="58">
      <c r="A58" s="10" t="inlineStr">
        <is>
          <t>Neg Av</t>
        </is>
      </c>
      <c r="B58" s="11">
        <f>IF(COUNTIF(B2:B55,"&lt;0"),AVERAGEIF(B2:B55,"&lt;0"),"—")</f>
        <v/>
      </c>
      <c r="C58" s="11">
        <f>IF(COUNTIF(C2:C55,"&lt;0"),AVERAGEIF(C2:C55,"&lt;0"),"—")</f>
        <v/>
      </c>
      <c r="D58" s="12">
        <f>IF(COUNTIF(D2:D55,"&lt;0"),AVERAGEIF(D2:D55,"&lt;0"),"—")</f>
        <v/>
      </c>
      <c r="E58" s="11">
        <f>IF(COUNTIF(E2:E55,"&lt;0"),AVERAGEIF(E2:E55,"&lt;0"),"—")</f>
        <v/>
      </c>
      <c r="F58" s="11">
        <f>IF(COUNTIF(F2:F55,"&lt;0"),AVERAGEIF(F2:F55,"&lt;0"),"—")</f>
        <v/>
      </c>
      <c r="G58" s="11">
        <f>IF(COUNTIF(G2:G55,"&lt;0"),AVERAGEIF(G2:G55,"&lt;0"),"—")</f>
        <v/>
      </c>
      <c r="H58" s="11">
        <f>IF(COUNTIF(H2:H55,"&lt;0"),AVERAGEIF(H2:H55,"&lt;0"),"—")</f>
        <v/>
      </c>
      <c r="I58" s="11">
        <f>IF(COUNTIF(I2:I55,"&lt;0"),AVERAGEIF(I2:I55,"&lt;0"),"—")</f>
        <v/>
      </c>
      <c r="J58" s="11">
        <f>IF(COUNTIF(J2:J55,"&lt;0"),AVERAGEIF(J2:J55,"&lt;0"),"—")</f>
        <v/>
      </c>
      <c r="K58" s="11">
        <f>IF(COUNTIF(K2:K55,"&lt;0"),AVERAGEIF(K2:K55,"&lt;0"),"—")</f>
        <v/>
      </c>
      <c r="L58" s="11">
        <f>IF(COUNTIF(L2:L55,"&lt;0"),AVERAGEIF(L2:L55,"&lt;0"),"—")</f>
        <v/>
      </c>
      <c r="M58" s="13">
        <f>IF(COUNTIF(M2:M55,"&lt;0"),AVERAGEIF(M2:M55,"&lt;0"),"—")</f>
        <v/>
      </c>
      <c r="N58" s="11">
        <f>IF(COUNTIF(N2:N55,"&lt;0"),AVERAGEIF(N2:N55,"&lt;0"),"—")</f>
        <v/>
      </c>
      <c r="O58" s="11">
        <f>IF(COUNTIF(O2:O55,"&lt;0"),AVERAGEIF(O2:O55,"&lt;0"),"—")</f>
        <v/>
      </c>
      <c r="P58" s="11">
        <f>IF(COUNTIF(P2:P55,"&lt;0"),AVERAGEIF(P2:P55,"&lt;0"),"—")</f>
        <v/>
      </c>
      <c r="Q58" s="11">
        <f>IF(COUNTIF(Q2:Q55,"&lt;0"),AVERAGEIF(Q2:Q55,"&lt;0"),"—")</f>
        <v/>
      </c>
      <c r="R58" s="11">
        <f>IF(COUNTIF(R2:R55,"&lt;0"),AVERAGEIF(R2:R55,"&lt;0"),"—")</f>
        <v/>
      </c>
      <c r="S58" s="11">
        <f>IF(COUNTIF(S2:S55,"&lt;0"),AVERAGEIF(S2:S55,"&lt;0"),"—")</f>
        <v/>
      </c>
      <c r="T58" s="11">
        <f>IF(COUNTIF(T2:T55,"&lt;0"),AVERAGEIF(T2:T55,"&lt;0"),"—")</f>
        <v/>
      </c>
      <c r="U58" s="11">
        <f>IF(COUNTIF(U2:U55,"&lt;0"),AVERAGEIF(U2:U55,"&lt;0"),"—")</f>
        <v/>
      </c>
      <c r="V58" s="11">
        <f>IF(COUNTIF(V2:V55,"&lt;0"),AVERAGEIF(V2:V55,"&lt;0"),"—")</f>
        <v/>
      </c>
      <c r="W58" s="11">
        <f>IF(COUNTIF(W2:W55,"&lt;0"),AVERAGEIF(W2:W55,"&lt;0"),"—")</f>
        <v/>
      </c>
      <c r="X58" s="11">
        <f>IF(COUNTIF(X2:X55,"&lt;0"),AVERAGEIF(X2:X55,"&lt;0"),"—")</f>
        <v/>
      </c>
      <c r="Y58" s="11">
        <f>IF(COUNTIF(Y2:Y55,"&lt;0"),AVERAGEIF(Y2:Y55,"&lt;0"),"—")</f>
        <v/>
      </c>
      <c r="Z58" s="11">
        <f>IF(COUNTIF(Z2:Z55,"&lt;0"),AVERAGEIF(Z2:Z55,"&lt;0"),"—")</f>
        <v/>
      </c>
      <c r="AA58" s="11">
        <f>IF(COUNTIF(AA2:AA55,"&lt;0"),AVERAGEIF(AA2:AA55,"&lt;0"),"—")</f>
        <v/>
      </c>
      <c r="AB58" s="13">
        <f>IF(COUNTIF(AB2:AB55,"&lt;0"),AVERAGEIF(AB2:AB55,"&lt;0"),"—")</f>
        <v/>
      </c>
      <c r="AC58" s="11">
        <f>IF(COUNTIF(AC2:AC55,"&lt;0"),AVERAGEIF(AC2:AC55,"&lt;0"),"—")</f>
        <v/>
      </c>
      <c r="AD58" s="11">
        <f>IF(COUNTIF(AD2:AD55,"&lt;0"),AVERAGEIF(AD2:AD55,"&lt;0"),"—")</f>
        <v/>
      </c>
      <c r="AE58" s="11">
        <f>IF(COUNTIF(AE2:AE55,"&lt;0"),AVERAGEIF(AE2:AE55,"&lt;0"),"—")</f>
        <v/>
      </c>
    </row>
    <row r="59">
      <c r="A59" s="10" t="inlineStr">
        <is>
          <t>1 Av</t>
        </is>
      </c>
      <c r="B59" s="11">
        <f>IF(COUNTA(B2:B55),AVERAGE(B2:B55),"—")</f>
        <v/>
      </c>
      <c r="C59" s="11">
        <f>IF(COUNTA(C2:C55),AVERAGE(C2:C55),"—")</f>
        <v/>
      </c>
      <c r="D59" s="12">
        <f>IF(COUNTA(D2:D55),AVERAGE(D2:D55),"—")</f>
        <v/>
      </c>
      <c r="E59" s="11">
        <f>IF(COUNTA(E2:E55),AVERAGE(E2:E55),"—")</f>
        <v/>
      </c>
      <c r="F59" s="11">
        <f>IF(COUNTA(F2:F55),AVERAGE(F2:F55),"—")</f>
        <v/>
      </c>
      <c r="G59" s="11">
        <f>IF(COUNTA(G2:G55),AVERAGE(G2:G55),"—")</f>
        <v/>
      </c>
      <c r="H59" s="11">
        <f>IF(COUNTA(H2:H55),AVERAGE(H2:H55),"—")</f>
        <v/>
      </c>
      <c r="I59" s="11">
        <f>IF(COUNTA(I2:I55),AVERAGE(I2:I55),"—")</f>
        <v/>
      </c>
      <c r="J59" s="11">
        <f>IF(COUNTA(J2:J55),AVERAGE(J2:J55),"—")</f>
        <v/>
      </c>
      <c r="K59" s="11">
        <f>IF(COUNTA(K2:K55),AVERAGE(K2:K55),"—")</f>
        <v/>
      </c>
      <c r="L59" s="11">
        <f>IF(COUNTA(L2:L55),AVERAGE(L2:L55),"—")</f>
        <v/>
      </c>
      <c r="M59" s="13">
        <f>IF(COUNTA(M2:M55),AVERAGE(M2:M55),"—")</f>
        <v/>
      </c>
      <c r="N59" s="11">
        <f>IF(COUNTA(N2:N55),AVERAGE(N2:N55),"—")</f>
        <v/>
      </c>
      <c r="O59" s="11">
        <f>IF(COUNTA(O2:O55),AVERAGE(O2:O55),"—")</f>
        <v/>
      </c>
      <c r="P59" s="11">
        <f>IF(COUNTA(P2:P55),AVERAGE(P2:P55),"—")</f>
        <v/>
      </c>
      <c r="Q59" s="11">
        <f>IF(COUNTA(Q2:Q55),AVERAGE(Q2:Q55),"—")</f>
        <v/>
      </c>
      <c r="R59" s="11">
        <f>IF(COUNTA(R2:R55),AVERAGE(R2:R55),"—")</f>
        <v/>
      </c>
      <c r="S59" s="11">
        <f>IF(COUNTA(S2:S55),AVERAGE(S2:S55),"—")</f>
        <v/>
      </c>
      <c r="T59" s="11">
        <f>IF(COUNTA(T2:T55),AVERAGE(T2:T55),"—")</f>
        <v/>
      </c>
      <c r="U59" s="11">
        <f>IF(COUNTA(U2:U55),AVERAGE(U2:U55),"—")</f>
        <v/>
      </c>
      <c r="V59" s="11">
        <f>IF(COUNTA(V2:V55),AVERAGE(V2:V55),"—")</f>
        <v/>
      </c>
      <c r="W59" s="11">
        <f>IF(COUNTA(W2:W55),AVERAGE(W2:W55),"—")</f>
        <v/>
      </c>
      <c r="X59" s="11">
        <f>IF(COUNTA(X2:X55),AVERAGE(X2:X55),"—")</f>
        <v/>
      </c>
      <c r="Y59" s="11">
        <f>IF(COUNTA(Y2:Y55),AVERAGE(Y2:Y55),"—")</f>
        <v/>
      </c>
      <c r="Z59" s="11">
        <f>IF(COUNTA(Z2:Z55),AVERAGE(Z2:Z55),"—")</f>
        <v/>
      </c>
      <c r="AA59" s="11">
        <f>IF(COUNTA(AA2:AA55),AVERAGE(AA2:AA55),"—")</f>
        <v/>
      </c>
      <c r="AB59" s="13">
        <f>IF(COUNTA(AB2:AB55),AVERAGE(AB2:AB55),"—")</f>
        <v/>
      </c>
      <c r="AC59" s="11">
        <f>IF(COUNTA(AC2:AC55),AVERAGE(AC2:AC55),"—")</f>
        <v/>
      </c>
      <c r="AD59" s="11">
        <f>IF(COUNTA(AD2:AD55),AVERAGE(AD2:AD55),"—")</f>
        <v/>
      </c>
      <c r="AE59" s="11">
        <f>IF(COUNTA(AE2:AE55),AVERAGE(AE2:AE55),"—")</f>
        <v/>
      </c>
    </row>
    <row r="60">
      <c r="A60" s="10" t="inlineStr">
        <is>
          <t>Spread</t>
        </is>
      </c>
      <c r="B60" s="11">
        <f>IF(AND(ISNUMBER(B57),ISNUMBER(B58)),B57-B58,"—")</f>
        <v/>
      </c>
      <c r="C60" s="11">
        <f>IF(AND(ISNUMBER(C57),ISNUMBER(C58)),C57-C58,"—")</f>
        <v/>
      </c>
      <c r="D60" s="12">
        <f>IF(AND(ISNUMBER(D57),ISNUMBER(D58)),D57-D58,"—")</f>
        <v/>
      </c>
      <c r="E60" s="11">
        <f>IF(AND(ISNUMBER(E57),ISNUMBER(E58)),E57-E58,"—")</f>
        <v/>
      </c>
      <c r="F60" s="11">
        <f>IF(AND(ISNUMBER(F57),ISNUMBER(F58)),F57-F58,"—")</f>
        <v/>
      </c>
      <c r="G60" s="11">
        <f>IF(AND(ISNUMBER(G57),ISNUMBER(G58)),G57-G58,"—")</f>
        <v/>
      </c>
      <c r="H60" s="11">
        <f>IF(AND(ISNUMBER(H57),ISNUMBER(H58)),H57-H58,"—")</f>
        <v/>
      </c>
      <c r="I60" s="11">
        <f>IF(AND(ISNUMBER(I57),ISNUMBER(I58)),I57-I58,"—")</f>
        <v/>
      </c>
      <c r="J60" s="11">
        <f>IF(AND(ISNUMBER(J57),ISNUMBER(J58)),J57-J58,"—")</f>
        <v/>
      </c>
      <c r="K60" s="11">
        <f>IF(AND(ISNUMBER(K57),ISNUMBER(K58)),K57-K58,"—")</f>
        <v/>
      </c>
      <c r="L60" s="11">
        <f>IF(AND(ISNUMBER(L57),ISNUMBER(L58)),L57-L58,"—")</f>
        <v/>
      </c>
      <c r="M60" s="13">
        <f>IF(AND(ISNUMBER(M57),ISNUMBER(M58)),M57-M58,"—")</f>
        <v/>
      </c>
      <c r="N60" s="11">
        <f>IF(AND(ISNUMBER(N57),ISNUMBER(N58)),N57-N58,"—")</f>
        <v/>
      </c>
      <c r="O60" s="11">
        <f>IF(AND(ISNUMBER(O57),ISNUMBER(O58)),O57-O58,"—")</f>
        <v/>
      </c>
      <c r="P60" s="11">
        <f>IF(AND(ISNUMBER(P57),ISNUMBER(P58)),P57-P58,"—")</f>
        <v/>
      </c>
      <c r="Q60" s="11">
        <f>IF(AND(ISNUMBER(Q57),ISNUMBER(Q58)),Q57-Q58,"—")</f>
        <v/>
      </c>
      <c r="R60" s="11">
        <f>IF(AND(ISNUMBER(R57),ISNUMBER(R58)),R57-R58,"—")</f>
        <v/>
      </c>
      <c r="S60" s="11">
        <f>IF(AND(ISNUMBER(S57),ISNUMBER(S58)),S57-S58,"—")</f>
        <v/>
      </c>
      <c r="T60" s="11">
        <f>IF(AND(ISNUMBER(T57),ISNUMBER(T58)),T57-T58,"—")</f>
        <v/>
      </c>
      <c r="U60" s="11">
        <f>IF(AND(ISNUMBER(U57),ISNUMBER(U58)),U57-U58,"—")</f>
        <v/>
      </c>
      <c r="V60" s="11">
        <f>IF(AND(ISNUMBER(V57),ISNUMBER(V58)),V57-V58,"—")</f>
        <v/>
      </c>
      <c r="W60" s="11">
        <f>IF(AND(ISNUMBER(W57),ISNUMBER(W58)),W57-W58,"—")</f>
        <v/>
      </c>
      <c r="X60" s="11">
        <f>IF(AND(ISNUMBER(X57),ISNUMBER(X58)),X57-X58,"—")</f>
        <v/>
      </c>
      <c r="Y60" s="11">
        <f>IF(AND(ISNUMBER(Y57),ISNUMBER(Y58)),Y57-Y58,"—")</f>
        <v/>
      </c>
      <c r="Z60" s="11">
        <f>IF(AND(ISNUMBER(Z57),ISNUMBER(Z58)),Z57-Z58,"—")</f>
        <v/>
      </c>
      <c r="AA60" s="11">
        <f>IF(AND(ISNUMBER(AA57),ISNUMBER(AA58)),AA57-AA58,"—")</f>
        <v/>
      </c>
      <c r="AB60" s="13">
        <f>IF(AND(ISNUMBER(AB57),ISNUMBER(AB58)),AB57-AB58,"—")</f>
        <v/>
      </c>
      <c r="AC60" s="11">
        <f>IF(AND(ISNUMBER(AC57),ISNUMBER(AC58)),AC57-AC58,"—")</f>
        <v/>
      </c>
      <c r="AD60" s="11">
        <f>IF(AND(ISNUMBER(AD57),ISNUMBER(AD58)),AD57-AD58,"—")</f>
        <v/>
      </c>
      <c r="AE60" s="11">
        <f>IF(AND(ISNUMBER(AE57),ISNUMBER(AE58)),AE57-AE58,"—")</f>
        <v/>
      </c>
    </row>
    <row r="61">
      <c r="A61" s="10" t="inlineStr">
        <is>
          <t>% Pos</t>
        </is>
      </c>
      <c r="B61" s="14">
        <f>IF(COUNTA(B2:B55),COUNTIF(B2:B55,"&gt;0")/COUNTA(B2:B55),"—")</f>
        <v/>
      </c>
      <c r="C61" s="14">
        <f>IF(COUNTA(C2:C55),COUNTIF(C2:C55,"&gt;0")/COUNTA(C2:C55),"—")</f>
        <v/>
      </c>
      <c r="D61" s="14">
        <f>IF(COUNTA(D2:D55),COUNTIF(D2:D55,"&gt;0")/COUNTA(D2:D55),"—")</f>
        <v/>
      </c>
      <c r="E61" s="14">
        <f>IF(COUNTA(E2:E55),COUNTIF(E2:E55,"&gt;0")/COUNTA(E2:E55),"—")</f>
        <v/>
      </c>
      <c r="F61" s="14">
        <f>IF(COUNTA(F2:F55),COUNTIF(F2:F55,"&gt;0")/COUNTA(F2:F55),"—")</f>
        <v/>
      </c>
      <c r="G61" s="14">
        <f>IF(COUNTA(G2:G55),COUNTIF(G2:G55,"&gt;0")/COUNTA(G2:G55),"—")</f>
        <v/>
      </c>
      <c r="H61" s="14">
        <f>IF(COUNTA(H2:H55),COUNTIF(H2:H55,"&gt;0")/COUNTA(H2:H55),"—")</f>
        <v/>
      </c>
      <c r="I61" s="14">
        <f>IF(COUNTA(I2:I55),COUNTIF(I2:I55,"&gt;0")/COUNTA(I2:I55),"—")</f>
        <v/>
      </c>
      <c r="J61" s="14">
        <f>IF(COUNTA(J2:J55),COUNTIF(J2:J55,"&gt;0")/COUNTA(J2:J55),"—")</f>
        <v/>
      </c>
      <c r="K61" s="14">
        <f>IF(COUNTA(K2:K55),COUNTIF(K2:K55,"&gt;0")/COUNTA(K2:K55),"—")</f>
        <v/>
      </c>
      <c r="L61" s="14">
        <f>IF(COUNTA(L2:L55),COUNTIF(L2:L55,"&gt;0")/COUNTA(L2:L55),"—")</f>
        <v/>
      </c>
      <c r="M61" s="14">
        <f>IF(COUNTA(M2:M55),COUNTIF(M2:M55,"&gt;0")/COUNTA(M2:M55),"—")</f>
        <v/>
      </c>
      <c r="N61" s="14">
        <f>IF(COUNTA(N2:N55),COUNTIF(N2:N55,"&gt;0")/COUNTA(N2:N55),"—")</f>
        <v/>
      </c>
      <c r="O61" s="14">
        <f>IF(COUNTA(O2:O55),COUNTIF(O2:O55,"&gt;0")/COUNTA(O2:O55),"—")</f>
        <v/>
      </c>
      <c r="P61" s="14">
        <f>IF(COUNTA(P2:P55),COUNTIF(P2:P55,"&gt;0")/COUNTA(P2:P55),"—")</f>
        <v/>
      </c>
      <c r="Q61" s="14">
        <f>IF(COUNTA(Q2:Q55),COUNTIF(Q2:Q55,"&gt;0")/COUNTA(Q2:Q55),"—")</f>
        <v/>
      </c>
      <c r="R61" s="14">
        <f>IF(COUNTA(R2:R55),COUNTIF(R2:R55,"&gt;0")/COUNTA(R2:R55),"—")</f>
        <v/>
      </c>
      <c r="S61" s="14">
        <f>IF(COUNTA(S2:S55),COUNTIF(S2:S55,"&gt;0")/COUNTA(S2:S55),"—")</f>
        <v/>
      </c>
      <c r="T61" s="14">
        <f>IF(COUNTA(T2:T55),COUNTIF(T2:T55,"&gt;0")/COUNTA(T2:T55),"—")</f>
        <v/>
      </c>
      <c r="U61" s="14">
        <f>IF(COUNTA(U2:U55),COUNTIF(U2:U55,"&gt;0")/COUNTA(U2:U55),"—")</f>
        <v/>
      </c>
      <c r="V61" s="14">
        <f>IF(COUNTA(V2:V55),COUNTIF(V2:V55,"&gt;0")/COUNTA(V2:V55),"—")</f>
        <v/>
      </c>
      <c r="W61" s="14">
        <f>IF(COUNTA(W2:W55),COUNTIF(W2:W55,"&gt;0")/COUNTA(W2:W55),"—")</f>
        <v/>
      </c>
      <c r="X61" s="14">
        <f>IF(COUNTA(X2:X55),COUNTIF(X2:X55,"&gt;0")/COUNTA(X2:X55),"—")</f>
        <v/>
      </c>
      <c r="Y61" s="14">
        <f>IF(COUNTA(Y2:Y55),COUNTIF(Y2:Y55,"&gt;0")/COUNTA(Y2:Y55),"—")</f>
        <v/>
      </c>
      <c r="Z61" s="14">
        <f>IF(COUNTA(Z2:Z55),COUNTIF(Z2:Z55,"&gt;0")/COUNTA(Z2:Z55),"—")</f>
        <v/>
      </c>
      <c r="AA61" s="14">
        <f>IF(COUNTA(AA2:AA55),COUNTIF(AA2:AA55,"&gt;0")/COUNTA(AA2:AA55),"—")</f>
        <v/>
      </c>
      <c r="AB61" s="14">
        <f>IF(COUNTA(AB2:AB55),COUNTIF(AB2:AB55,"&gt;0")/COUNTA(AB2:AB55),"—")</f>
        <v/>
      </c>
      <c r="AC61" s="14">
        <f>IF(COUNTA(AC2:AC55),COUNTIF(AC2:AC55,"&gt;0")/COUNTA(AC2:AC55),"—")</f>
        <v/>
      </c>
      <c r="AD61" s="14">
        <f>IF(COUNTA(AD2:AD55),COUNTIF(AD2:AD55,"&gt;0")/COUNTA(AD2:AD55),"—")</f>
        <v/>
      </c>
      <c r="AE61" s="14">
        <f>IF(COUNTA(AE2:AE55),COUNTIF(AE2:AE55,"&gt;0")/COUNTA(AE2:AE55),"—")</f>
        <v/>
      </c>
    </row>
    <row r="62">
      <c r="A62" s="10" t="inlineStr">
        <is>
          <t>% Neg</t>
        </is>
      </c>
      <c r="B62" s="14">
        <f>IF(COUNTA(B2:B55),COUNTIF(B2:B55,"&lt;0")/COUNTA(B2:B55),"—")</f>
        <v/>
      </c>
      <c r="C62" s="14">
        <f>IF(COUNTA(C2:C55),COUNTIF(C2:C55,"&lt;0")/COUNTA(C2:C55),"—")</f>
        <v/>
      </c>
      <c r="D62" s="14">
        <f>IF(COUNTA(D2:D55),COUNTIF(D2:D55,"&lt;0")/COUNTA(D2:D55),"—")</f>
        <v/>
      </c>
      <c r="E62" s="14">
        <f>IF(COUNTA(E2:E55),COUNTIF(E2:E55,"&lt;0")/COUNTA(E2:E55),"—")</f>
        <v/>
      </c>
      <c r="F62" s="14">
        <f>IF(COUNTA(F2:F55),COUNTIF(F2:F55,"&lt;0")/COUNTA(F2:F55),"—")</f>
        <v/>
      </c>
      <c r="G62" s="14">
        <f>IF(COUNTA(G2:G55),COUNTIF(G2:G55,"&lt;0")/COUNTA(G2:G55),"—")</f>
        <v/>
      </c>
      <c r="H62" s="14">
        <f>IF(COUNTA(H2:H55),COUNTIF(H2:H55,"&lt;0")/COUNTA(H2:H55),"—")</f>
        <v/>
      </c>
      <c r="I62" s="14">
        <f>IF(COUNTA(I2:I55),COUNTIF(I2:I55,"&lt;0")/COUNTA(I2:I55),"—")</f>
        <v/>
      </c>
      <c r="J62" s="14">
        <f>IF(COUNTA(J2:J55),COUNTIF(J2:J55,"&lt;0")/COUNTA(J2:J55),"—")</f>
        <v/>
      </c>
      <c r="K62" s="14">
        <f>IF(COUNTA(K2:K55),COUNTIF(K2:K55,"&lt;0")/COUNTA(K2:K55),"—")</f>
        <v/>
      </c>
      <c r="L62" s="14">
        <f>IF(COUNTA(L2:L55),COUNTIF(L2:L55,"&lt;0")/COUNTA(L2:L55),"—")</f>
        <v/>
      </c>
      <c r="M62" s="14">
        <f>IF(COUNTA(M2:M55),COUNTIF(M2:M55,"&lt;0")/COUNTA(M2:M55),"—")</f>
        <v/>
      </c>
      <c r="N62" s="14">
        <f>IF(COUNTA(N2:N55),COUNTIF(N2:N55,"&lt;0")/COUNTA(N2:N55),"—")</f>
        <v/>
      </c>
      <c r="O62" s="14">
        <f>IF(COUNTA(O2:O55),COUNTIF(O2:O55,"&lt;0")/COUNTA(O2:O55),"—")</f>
        <v/>
      </c>
      <c r="P62" s="14">
        <f>IF(COUNTA(P2:P55),COUNTIF(P2:P55,"&lt;0")/COUNTA(P2:P55),"—")</f>
        <v/>
      </c>
      <c r="Q62" s="14">
        <f>IF(COUNTA(Q2:Q55),COUNTIF(Q2:Q55,"&lt;0")/COUNTA(Q2:Q55),"—")</f>
        <v/>
      </c>
      <c r="R62" s="14">
        <f>IF(COUNTA(R2:R55),COUNTIF(R2:R55,"&lt;0")/COUNTA(R2:R55),"—")</f>
        <v/>
      </c>
      <c r="S62" s="14">
        <f>IF(COUNTA(S2:S55),COUNTIF(S2:S55,"&lt;0")/COUNTA(S2:S55),"—")</f>
        <v/>
      </c>
      <c r="T62" s="14">
        <f>IF(COUNTA(T2:T55),COUNTIF(T2:T55,"&lt;0")/COUNTA(T2:T55),"—")</f>
        <v/>
      </c>
      <c r="U62" s="14">
        <f>IF(COUNTA(U2:U55),COUNTIF(U2:U55,"&lt;0")/COUNTA(U2:U55),"—")</f>
        <v/>
      </c>
      <c r="V62" s="14">
        <f>IF(COUNTA(V2:V55),COUNTIF(V2:V55,"&lt;0")/COUNTA(V2:V55),"—")</f>
        <v/>
      </c>
      <c r="W62" s="14">
        <f>IF(COUNTA(W2:W55),COUNTIF(W2:W55,"&lt;0")/COUNTA(W2:W55),"—")</f>
        <v/>
      </c>
      <c r="X62" s="14">
        <f>IF(COUNTA(X2:X55),COUNTIF(X2:X55,"&lt;0")/COUNTA(X2:X55),"—")</f>
        <v/>
      </c>
      <c r="Y62" s="14">
        <f>IF(COUNTA(Y2:Y55),COUNTIF(Y2:Y55,"&lt;0")/COUNTA(Y2:Y55),"—")</f>
        <v/>
      </c>
      <c r="Z62" s="14">
        <f>IF(COUNTA(Z2:Z55),COUNTIF(Z2:Z55,"&lt;0")/COUNTA(Z2:Z55),"—")</f>
        <v/>
      </c>
      <c r="AA62" s="14">
        <f>IF(COUNTA(AA2:AA55),COUNTIF(AA2:AA55,"&lt;0")/COUNTA(AA2:AA55),"—")</f>
        <v/>
      </c>
      <c r="AB62" s="14">
        <f>IF(COUNTA(AB2:AB55),COUNTIF(AB2:AB55,"&lt;0")/COUNTA(AB2:AB55),"—")</f>
        <v/>
      </c>
      <c r="AC62" s="14">
        <f>IF(COUNTA(AC2:AC55),COUNTIF(AC2:AC55,"&lt;0")/COUNTA(AC2:AC55),"—")</f>
        <v/>
      </c>
      <c r="AD62" s="14">
        <f>IF(COUNTA(AD2:AD55),COUNTIF(AD2:AD55,"&lt;0")/COUNTA(AD2:AD55),"—")</f>
        <v/>
      </c>
      <c r="AE62" s="14">
        <f>IF(COUNTA(AE2:AE55),COUNTIF(AE2:AE55,"&lt;0")/COUNTA(AE2:AE55),"—")</f>
        <v/>
      </c>
    </row>
  </sheetData>
  <autoFilter ref="A1:AE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n">
        <v>46078.57879629629</v>
      </c>
      <c r="B2" s="3" t="n">
        <v>74.89</v>
      </c>
      <c r="C2" s="3" t="n">
        <v>92.20999999999999</v>
      </c>
      <c r="D2" s="4" t="n">
        <v>1.23</v>
      </c>
      <c r="E2" s="3" t="n">
        <v>123.11</v>
      </c>
      <c r="F2" s="3" t="n">
        <v>126.89</v>
      </c>
      <c r="G2" s="3" t="n">
        <v>1.9</v>
      </c>
      <c r="H2" s="3" t="n">
        <v>-14.23</v>
      </c>
      <c r="I2" s="3" t="n">
        <v>3.2</v>
      </c>
      <c r="J2" s="3" t="n">
        <v>1.21</v>
      </c>
      <c r="K2" s="3" t="n">
        <v>-1.99</v>
      </c>
      <c r="L2" s="3" t="n">
        <v>1.64</v>
      </c>
      <c r="M2" s="5" t="n">
        <v>-0.8</v>
      </c>
      <c r="N2" s="3" t="n">
        <v>33</v>
      </c>
      <c r="O2" s="3" t="n">
        <v>26.41</v>
      </c>
      <c r="P2" s="3" t="n">
        <v>33.9</v>
      </c>
      <c r="Q2" s="3" t="n">
        <v>6029</v>
      </c>
      <c r="R2" s="3" t="n">
        <v>-2.7</v>
      </c>
      <c r="S2" s="3" t="n">
        <v>-7</v>
      </c>
      <c r="T2" s="3" t="n">
        <v>3.59</v>
      </c>
      <c r="U2" s="3" t="n">
        <v>3.04</v>
      </c>
      <c r="V2" s="3" t="n">
        <v>80.38</v>
      </c>
      <c r="W2" s="3" t="n">
        <v>48.07</v>
      </c>
      <c r="X2" s="3" t="n">
        <v>2.71</v>
      </c>
      <c r="Y2" s="3" t="n">
        <v>67.7</v>
      </c>
      <c r="Z2" s="3" t="n">
        <v>1.12</v>
      </c>
      <c r="AA2" s="3" t="n">
        <v>-2.85</v>
      </c>
      <c r="AB2" s="5" t="n">
        <v>0.63</v>
      </c>
      <c r="AC2" s="3" t="n">
        <v/>
      </c>
      <c r="AD2" s="3" t="n">
        <v>5.29</v>
      </c>
      <c r="AE2" s="3" t="n">
        <v>71.95999999999999</v>
      </c>
    </row>
    <row r="3">
      <c r="A3" s="6" t="n">
        <v>46078.57894675926</v>
      </c>
      <c r="B3" s="7" t="n">
        <v>75.83</v>
      </c>
      <c r="C3" s="7" t="n">
        <v>93.97</v>
      </c>
      <c r="D3" s="8" t="n">
        <v>1.24</v>
      </c>
      <c r="E3" s="7" t="n">
        <v>125.24</v>
      </c>
      <c r="F3" s="7" t="n">
        <v>129.35</v>
      </c>
      <c r="G3" s="7" t="n">
        <v>2.98</v>
      </c>
      <c r="H3" s="7" t="n">
        <v>-10.9</v>
      </c>
      <c r="I3" s="7" t="n">
        <v>2.8</v>
      </c>
      <c r="J3" s="7" t="n">
        <v>-3.77</v>
      </c>
      <c r="K3" s="7" t="n">
        <v>-6.57</v>
      </c>
      <c r="L3" s="7" t="n">
        <v>-2.22</v>
      </c>
      <c r="M3" s="9" t="n">
        <v>-1.6</v>
      </c>
      <c r="N3" s="7" t="n">
        <v>31.65</v>
      </c>
      <c r="O3" s="7" t="n">
        <v>24.84</v>
      </c>
      <c r="P3" s="7" t="n">
        <v>33.85</v>
      </c>
      <c r="Q3" s="7" t="n">
        <v>6464.19</v>
      </c>
      <c r="R3" s="7" t="n">
        <v>-9.31</v>
      </c>
      <c r="S3" s="7" t="n">
        <v>-25.17</v>
      </c>
      <c r="T3" s="7" t="n">
        <v>-39.68</v>
      </c>
      <c r="U3" s="7" t="n">
        <v>-43.43</v>
      </c>
      <c r="V3" s="7" t="n">
        <v>77.81999999999999</v>
      </c>
      <c r="W3" s="7" t="n">
        <v>47.03</v>
      </c>
      <c r="X3" s="7" t="n">
        <v>1.93</v>
      </c>
      <c r="Y3" s="7" t="n">
        <v>65.28</v>
      </c>
      <c r="Z3" s="7" t="n">
        <v>1.22</v>
      </c>
      <c r="AA3" s="7" t="n">
        <v>-9.93</v>
      </c>
      <c r="AB3" s="9" t="n">
        <v>1.46</v>
      </c>
      <c r="AC3" s="7" t="n">
        <v/>
      </c>
      <c r="AD3" s="7" t="n">
        <v>5.26</v>
      </c>
      <c r="AE3" s="7" t="n">
        <v>71.26000000000001</v>
      </c>
    </row>
    <row r="4">
      <c r="A4" s="2" t="n">
        <v>46078.57944444445</v>
      </c>
      <c r="B4" s="3" t="n">
        <v>74.78</v>
      </c>
      <c r="C4" s="3" t="n">
        <v>92.29000000000001</v>
      </c>
      <c r="D4" s="4" t="n">
        <v>1.23</v>
      </c>
      <c r="E4" s="3" t="n">
        <v>122.85</v>
      </c>
      <c r="F4" s="3" t="n">
        <v>126.69</v>
      </c>
      <c r="G4" s="3" t="n">
        <v>2.99</v>
      </c>
      <c r="H4" s="3" t="n">
        <v>-13.73</v>
      </c>
      <c r="I4" s="3" t="n">
        <v>2.4</v>
      </c>
      <c r="J4" s="3" t="n">
        <v>1.48</v>
      </c>
      <c r="K4" s="3" t="n">
        <v>-0.92</v>
      </c>
      <c r="L4" s="3" t="n">
        <v>1.7</v>
      </c>
      <c r="M4" s="5" t="n">
        <v>-2.6</v>
      </c>
      <c r="N4" s="3" t="n">
        <v>32.56</v>
      </c>
      <c r="O4" s="3" t="n">
        <v>25.74</v>
      </c>
      <c r="P4" s="3" t="n">
        <v>35.23</v>
      </c>
      <c r="Q4" s="3" t="n">
        <v>6245.53</v>
      </c>
      <c r="R4" s="3" t="n">
        <v>-1.35</v>
      </c>
      <c r="S4" s="3" t="n">
        <v>-3.5</v>
      </c>
      <c r="T4" s="3" t="n">
        <v>7.44</v>
      </c>
      <c r="U4" s="3" t="n">
        <v>7.34</v>
      </c>
      <c r="V4" s="3" t="n">
        <v>78.39</v>
      </c>
      <c r="W4" s="3" t="n">
        <v>47.56</v>
      </c>
      <c r="X4" s="3" t="n">
        <v>1.31</v>
      </c>
      <c r="Y4" s="3" t="n">
        <v>67.27</v>
      </c>
      <c r="Z4" s="3" t="n">
        <v>1.2</v>
      </c>
      <c r="AA4" s="3" t="n">
        <v>-1.43</v>
      </c>
      <c r="AB4" s="5" t="n">
        <v>2.36</v>
      </c>
      <c r="AC4" s="3" t="n">
        <v/>
      </c>
      <c r="AD4" s="3" t="n">
        <v>5.25</v>
      </c>
      <c r="AE4" s="3" t="n">
        <v>69.16</v>
      </c>
    </row>
    <row r="5">
      <c r="A5" s="6" t="n">
        <v>46078.58039351852</v>
      </c>
      <c r="B5" s="7" t="n">
        <v>73.15000000000001</v>
      </c>
      <c r="C5" s="7" t="n">
        <v>91.84999999999999</v>
      </c>
      <c r="D5" s="8" t="n">
        <v>1.26</v>
      </c>
      <c r="E5" s="7" t="n">
        <v>123.75</v>
      </c>
      <c r="F5" s="7" t="n">
        <v>131.27</v>
      </c>
      <c r="G5" s="7" t="n">
        <v>3.73</v>
      </c>
      <c r="H5" s="7" t="n">
        <v>-12.04</v>
      </c>
      <c r="I5" s="7" t="n">
        <v>5.4</v>
      </c>
      <c r="J5" s="7" t="n">
        <v>-1.91</v>
      </c>
      <c r="K5" s="7" t="n">
        <v>-7.3</v>
      </c>
      <c r="L5" s="7" t="n">
        <v>-0.31</v>
      </c>
      <c r="M5" s="9" t="n">
        <v>-1.2</v>
      </c>
      <c r="N5" s="7" t="n">
        <v>30.01</v>
      </c>
      <c r="O5" s="7" t="n">
        <v>24.1</v>
      </c>
      <c r="P5" s="7" t="n">
        <v>32.01</v>
      </c>
      <c r="Q5" s="7" t="n">
        <v>5533.73</v>
      </c>
      <c r="R5" s="7" t="n">
        <v>-11.22</v>
      </c>
      <c r="S5" s="7" t="n">
        <v>-27.38</v>
      </c>
      <c r="T5" s="7" t="n">
        <v>-29.35</v>
      </c>
      <c r="U5" s="7" t="n">
        <v>-34.59</v>
      </c>
      <c r="V5" s="7" t="n">
        <v>70.03</v>
      </c>
      <c r="W5" s="7" t="n">
        <v>44.12</v>
      </c>
      <c r="X5" s="7" t="n">
        <v>5.02</v>
      </c>
      <c r="Y5" s="7" t="n">
        <v>73.11</v>
      </c>
      <c r="Z5" s="7" t="n">
        <v>1.15</v>
      </c>
      <c r="AA5" s="7" t="n">
        <v>-12.03</v>
      </c>
      <c r="AB5" s="9" t="n">
        <v>0.9399999999999999</v>
      </c>
      <c r="AC5" s="7" t="n">
        <v/>
      </c>
      <c r="AD5" s="7" t="n">
        <v>5.02</v>
      </c>
      <c r="AE5" s="7" t="n">
        <v>70.3</v>
      </c>
    </row>
    <row r="6">
      <c r="A6" s="2" t="n">
        <v>46078.58141203703</v>
      </c>
      <c r="B6" s="3" t="n">
        <v>73.55</v>
      </c>
      <c r="C6" s="3" t="n">
        <v>92.56999999999999</v>
      </c>
      <c r="D6" s="4" t="n">
        <v>1.26</v>
      </c>
      <c r="E6" s="3" t="n">
        <v>124.19</v>
      </c>
      <c r="F6" s="3" t="n">
        <v>129</v>
      </c>
      <c r="G6" s="3" t="n">
        <v>0.8100000000000001</v>
      </c>
      <c r="H6" s="3" t="n">
        <v>-12.15</v>
      </c>
      <c r="I6" s="3" t="n">
        <v>3</v>
      </c>
      <c r="J6" s="3" t="n">
        <v>-2.05</v>
      </c>
      <c r="K6" s="3" t="n">
        <v>-5.05</v>
      </c>
      <c r="L6" s="3" t="n">
        <v>-0.93</v>
      </c>
      <c r="M6" s="5" t="n">
        <v>-1.2</v>
      </c>
      <c r="N6" s="3" t="n">
        <v>31.8</v>
      </c>
      <c r="O6" s="3" t="n">
        <v>25.42</v>
      </c>
      <c r="P6" s="3" t="n">
        <v>33.53</v>
      </c>
      <c r="Q6" s="3" t="n">
        <v>5926.61</v>
      </c>
      <c r="R6" s="3" t="n">
        <v>-7.24</v>
      </c>
      <c r="S6" s="3" t="n">
        <v>-18.68</v>
      </c>
      <c r="T6" s="3" t="n">
        <v>-24.71</v>
      </c>
      <c r="U6" s="3" t="n">
        <v>-27.61</v>
      </c>
      <c r="V6" s="3" t="n">
        <v>77.08</v>
      </c>
      <c r="W6" s="3" t="n">
        <v>46.75</v>
      </c>
      <c r="X6" s="3" t="n">
        <v>2.33</v>
      </c>
      <c r="Y6" s="3" t="n">
        <v>67.53</v>
      </c>
      <c r="Z6" s="3" t="n">
        <v>1.21</v>
      </c>
      <c r="AA6" s="3" t="n">
        <v>-7.69</v>
      </c>
      <c r="AB6" s="5" t="n">
        <v>1.22</v>
      </c>
      <c r="AC6" s="3" t="n">
        <v/>
      </c>
      <c r="AD6" s="3" t="n">
        <v>5.22</v>
      </c>
      <c r="AE6" s="3" t="n">
        <v>68.58</v>
      </c>
    </row>
    <row r="7">
      <c r="A7" s="6" t="n">
        <v>46078.57909722222</v>
      </c>
      <c r="B7" s="7" t="n">
        <v>74.53</v>
      </c>
      <c r="C7" s="7" t="n">
        <v>90.55</v>
      </c>
      <c r="D7" s="8" t="n">
        <v>1.22</v>
      </c>
      <c r="E7" s="7" t="n">
        <v>121.83</v>
      </c>
      <c r="F7" s="7" t="n">
        <v>127.81</v>
      </c>
      <c r="G7" s="7" t="n">
        <v>2.51</v>
      </c>
      <c r="H7" s="7" t="n">
        <v>-16.38</v>
      </c>
      <c r="I7" s="7" t="n">
        <v>5</v>
      </c>
      <c r="J7" s="7" t="n">
        <v>-0.33</v>
      </c>
      <c r="K7" s="7" t="n">
        <v>-5.33</v>
      </c>
      <c r="L7" s="7" t="n">
        <v>0.83</v>
      </c>
      <c r="M7" s="9" t="n">
        <v>0.2</v>
      </c>
      <c r="N7" s="7" t="n">
        <v>31.84</v>
      </c>
      <c r="O7" s="7" t="n">
        <v>25.89</v>
      </c>
      <c r="P7" s="7" t="n">
        <v>32.12</v>
      </c>
      <c r="Q7" s="7" t="n">
        <v>5414.23</v>
      </c>
      <c r="R7" s="7" t="n">
        <v>-8.01</v>
      </c>
      <c r="S7" s="7" t="n">
        <v>-19.19</v>
      </c>
      <c r="T7" s="7" t="n">
        <v>-13.9</v>
      </c>
      <c r="U7" s="7" t="n">
        <v>-16.76</v>
      </c>
      <c r="V7" s="7" t="n">
        <v>74.38</v>
      </c>
      <c r="W7" s="7" t="n">
        <v>45.95</v>
      </c>
      <c r="X7" s="7" t="n">
        <v>4.97</v>
      </c>
      <c r="Y7" s="7" t="n">
        <v>69.90000000000001</v>
      </c>
      <c r="Z7" s="7" t="n">
        <v>1.21</v>
      </c>
      <c r="AA7" s="7" t="n">
        <v>-8.460000000000001</v>
      </c>
      <c r="AB7" s="9" t="n">
        <v>-0.2</v>
      </c>
      <c r="AC7" s="7" t="n">
        <v/>
      </c>
      <c r="AD7" s="7" t="n">
        <v>5.11</v>
      </c>
      <c r="AE7" s="7" t="n">
        <v>67.66</v>
      </c>
    </row>
    <row r="8">
      <c r="A8" s="2" t="n">
        <v>46078.57984953704</v>
      </c>
      <c r="B8" s="3" t="n">
        <v>76.47</v>
      </c>
      <c r="C8" s="3" t="n">
        <v>93.66</v>
      </c>
      <c r="D8" s="4" t="n">
        <v>1.22</v>
      </c>
      <c r="E8" s="3" t="n">
        <v>127.14</v>
      </c>
      <c r="F8" s="3" t="n">
        <v>133.31</v>
      </c>
      <c r="G8" s="3" t="n">
        <v>7.18</v>
      </c>
      <c r="H8" s="3" t="n">
        <v>-6.43</v>
      </c>
      <c r="I8" s="3" t="n">
        <v>4.4</v>
      </c>
      <c r="J8" s="3" t="n">
        <v>-3.46</v>
      </c>
      <c r="K8" s="3" t="n">
        <v>-7.86</v>
      </c>
      <c r="L8" s="3" t="n">
        <v>-1.78</v>
      </c>
      <c r="M8" s="5" t="n">
        <v>-0.8</v>
      </c>
      <c r="N8" s="3" t="n">
        <v>30.63</v>
      </c>
      <c r="O8" s="3" t="n">
        <v>24.83</v>
      </c>
      <c r="P8" s="3" t="n">
        <v>32.47</v>
      </c>
      <c r="Q8" s="3" t="n">
        <v>5559</v>
      </c>
      <c r="R8" s="3" t="n">
        <v>-11.88</v>
      </c>
      <c r="S8" s="3" t="n">
        <v>-30.86</v>
      </c>
      <c r="T8" s="3" t="n">
        <v>-42.67</v>
      </c>
      <c r="U8" s="3" t="n">
        <v>-48.13</v>
      </c>
      <c r="V8" s="3" t="n">
        <v>75.86</v>
      </c>
      <c r="W8" s="3" t="n">
        <v>45.65</v>
      </c>
      <c r="X8" s="3" t="n">
        <v>4.07</v>
      </c>
      <c r="Y8" s="3" t="n">
        <v>72.48999999999999</v>
      </c>
      <c r="Z8" s="3" t="n">
        <v>1.19</v>
      </c>
      <c r="AA8" s="3" t="n">
        <v>-12.66</v>
      </c>
      <c r="AB8" s="5" t="n">
        <v>0.75</v>
      </c>
      <c r="AC8" s="3" t="n">
        <v/>
      </c>
      <c r="AD8" s="3" t="n">
        <v>5.2</v>
      </c>
      <c r="AE8" s="3" t="n">
        <v>69.02</v>
      </c>
    </row>
    <row r="9">
      <c r="A9" s="6" t="n">
        <v>46078.58059027778</v>
      </c>
      <c r="B9" s="7" t="n">
        <v>75.06999999999999</v>
      </c>
      <c r="C9" s="7" t="n">
        <v>86.15000000000001</v>
      </c>
      <c r="D9" s="8" t="n">
        <v>1.15</v>
      </c>
      <c r="E9" s="7" t="n">
        <v>115.57</v>
      </c>
      <c r="F9" s="7" t="n">
        <v>123.68</v>
      </c>
      <c r="G9" s="7" t="n">
        <v>6.55</v>
      </c>
      <c r="H9" s="7" t="n">
        <v>-19.79</v>
      </c>
      <c r="I9" s="7" t="n">
        <v>6</v>
      </c>
      <c r="J9" s="7" t="n">
        <v>0.68</v>
      </c>
      <c r="K9" s="7" t="n">
        <v>-5.32</v>
      </c>
      <c r="L9" s="7" t="n">
        <v>1.71</v>
      </c>
      <c r="M9" s="9" t="n">
        <v>0.2</v>
      </c>
      <c r="N9" s="7" t="n">
        <v>32.33</v>
      </c>
      <c r="O9" s="7" t="n">
        <v>27</v>
      </c>
      <c r="P9" s="7" t="n">
        <v>32.47</v>
      </c>
      <c r="Q9" s="7" t="n">
        <v>4618.94</v>
      </c>
      <c r="R9" s="7" t="n">
        <v>-7.87</v>
      </c>
      <c r="S9" s="7" t="n">
        <v>-16.02</v>
      </c>
      <c r="T9" s="7" t="n">
        <v>-5.69</v>
      </c>
      <c r="U9" s="7" t="n">
        <v>-8.26</v>
      </c>
      <c r="V9" s="7" t="n">
        <v>69.23</v>
      </c>
      <c r="W9" s="7" t="n">
        <v>44.72</v>
      </c>
      <c r="X9" s="7" t="n">
        <v>5.95</v>
      </c>
      <c r="Y9" s="7" t="n">
        <v>73</v>
      </c>
      <c r="Z9" s="7" t="n">
        <v>1.18</v>
      </c>
      <c r="AA9" s="7" t="n">
        <v>-8.24</v>
      </c>
      <c r="AB9" s="9" t="n">
        <v>-0.28</v>
      </c>
      <c r="AC9" s="7" t="n">
        <v/>
      </c>
      <c r="AD9" s="7" t="n">
        <v>4.88</v>
      </c>
      <c r="AE9" s="7" t="n">
        <v>71.04000000000001</v>
      </c>
    </row>
    <row r="10">
      <c r="A10" s="2" t="n">
        <v>46078.58004629629</v>
      </c>
      <c r="B10" s="3" t="n">
        <v>76.44</v>
      </c>
      <c r="C10" s="3" t="n">
        <v>83.06999999999999</v>
      </c>
      <c r="D10" s="4" t="n">
        <v>1.09</v>
      </c>
      <c r="E10" s="3" t="n">
        <v>110.76</v>
      </c>
      <c r="F10" s="3" t="n">
        <v>122.82</v>
      </c>
      <c r="G10" s="3" t="n">
        <v>8.44</v>
      </c>
      <c r="H10" s="3" t="n">
        <v>-18.5</v>
      </c>
      <c r="I10" s="3" t="n">
        <v>3.2</v>
      </c>
      <c r="J10" s="3" t="n">
        <v>-0.16</v>
      </c>
      <c r="K10" s="3" t="n">
        <v>-3.36</v>
      </c>
      <c r="L10" s="3" t="n">
        <v>0.43</v>
      </c>
      <c r="M10" s="5" t="n">
        <v>-0.6</v>
      </c>
      <c r="N10" s="3" t="n">
        <v>30.91</v>
      </c>
      <c r="O10" s="3" t="n">
        <v>26.07</v>
      </c>
      <c r="P10" s="3" t="n">
        <v>31.73</v>
      </c>
      <c r="Q10" s="3" t="n">
        <v>4008.18</v>
      </c>
      <c r="R10" s="3" t="n">
        <v>-5.08</v>
      </c>
      <c r="S10" s="3" t="n">
        <v>-8.84</v>
      </c>
      <c r="T10" s="3" t="n">
        <v>-6.37</v>
      </c>
      <c r="U10" s="3" t="n">
        <v>-8.56</v>
      </c>
      <c r="V10" s="3" t="n">
        <v>60.32</v>
      </c>
      <c r="W10" s="3" t="n">
        <v>41.64</v>
      </c>
      <c r="X10" s="3" t="n">
        <v>2.92</v>
      </c>
      <c r="Y10" s="3" t="n">
        <v>75.18000000000001</v>
      </c>
      <c r="Z10" s="3" t="n">
        <v>1.25</v>
      </c>
      <c r="AA10" s="3" t="n">
        <v>-5.37</v>
      </c>
      <c r="AB10" s="5" t="n">
        <v>0.51</v>
      </c>
      <c r="AC10" s="3" t="n">
        <v/>
      </c>
      <c r="AD10" s="3" t="n">
        <v>4.56</v>
      </c>
      <c r="AE10" s="3" t="n">
        <v>69.41</v>
      </c>
    </row>
    <row r="11">
      <c r="A11" s="6" t="n">
        <v>46078.58127314815</v>
      </c>
      <c r="B11" s="7" t="n">
        <v>73.63</v>
      </c>
      <c r="C11" s="7" t="n">
        <v>88.14</v>
      </c>
      <c r="D11" s="8" t="n">
        <v>1.2</v>
      </c>
      <c r="E11" s="7" t="n">
        <v>115.44</v>
      </c>
      <c r="F11" s="7" t="n">
        <v>120.72</v>
      </c>
      <c r="G11" s="7" t="n">
        <v>1.85</v>
      </c>
      <c r="H11" s="7" t="n">
        <v>-19.49</v>
      </c>
      <c r="I11" s="7" t="n">
        <v>0.8</v>
      </c>
      <c r="J11" s="7" t="n">
        <v>0.02</v>
      </c>
      <c r="K11" s="7" t="n">
        <v>-0.78</v>
      </c>
      <c r="L11" s="7" t="n">
        <v>0.21</v>
      </c>
      <c r="M11" s="9" t="n">
        <v>-2.2</v>
      </c>
      <c r="N11" s="7" t="n">
        <v>32.36</v>
      </c>
      <c r="O11" s="7" t="n">
        <v>25.25</v>
      </c>
      <c r="P11" s="7" t="n">
        <v>34.61</v>
      </c>
      <c r="Q11" s="7" t="n">
        <v>6208.31</v>
      </c>
      <c r="R11" s="7" t="n">
        <v>-1.09</v>
      </c>
      <c r="S11" s="7" t="n">
        <v>-2.48</v>
      </c>
      <c r="T11" s="7" t="n">
        <v>-1.24</v>
      </c>
      <c r="U11" s="7" t="n">
        <v>-1.59</v>
      </c>
      <c r="V11" s="7" t="n">
        <v>68.98999999999999</v>
      </c>
      <c r="W11" s="7" t="n">
        <v>45.45</v>
      </c>
      <c r="X11" s="7" t="n">
        <v>-0.06</v>
      </c>
      <c r="Y11" s="7" t="n">
        <v>69.76000000000001</v>
      </c>
      <c r="Z11" s="7" t="n">
        <v>1.19</v>
      </c>
      <c r="AA11" s="7" t="n">
        <v>-1.16</v>
      </c>
      <c r="AB11" s="9" t="n">
        <v>1.93</v>
      </c>
      <c r="AC11" s="7" t="n">
        <v/>
      </c>
      <c r="AD11" s="7" t="n">
        <v>4.94</v>
      </c>
      <c r="AE11" s="7" t="n">
        <v>71.06999999999999</v>
      </c>
    </row>
    <row r="12">
      <c r="A12" s="2" t="n">
        <v>46078.58074074074</v>
      </c>
      <c r="B12" s="3" t="n">
        <v>75.08</v>
      </c>
      <c r="C12" s="3" t="n">
        <v>92.81</v>
      </c>
      <c r="D12" s="4" t="n">
        <v>1.24</v>
      </c>
      <c r="E12" s="3" t="n">
        <v>110.04</v>
      </c>
      <c r="F12" s="3" t="n">
        <v>146.11</v>
      </c>
      <c r="G12" s="3" t="n">
        <v>-4.22</v>
      </c>
      <c r="H12" s="3" t="n">
        <v>-21.01</v>
      </c>
      <c r="I12" s="3" t="n">
        <v>5.2</v>
      </c>
      <c r="J12" s="3" t="n">
        <v>-2.84</v>
      </c>
      <c r="K12" s="3" t="n">
        <v>-8.039999999999999</v>
      </c>
      <c r="L12" s="3" t="n">
        <v>-0.89</v>
      </c>
      <c r="M12" s="5" t="n">
        <v>-1.6</v>
      </c>
      <c r="N12" s="3" t="n">
        <v>16.96</v>
      </c>
      <c r="O12" s="3" t="n">
        <v>12.69</v>
      </c>
      <c r="P12" s="3" t="n">
        <v>20.27</v>
      </c>
      <c r="Q12" s="3" t="n">
        <v>4296.65</v>
      </c>
      <c r="R12" s="3" t="n">
        <v>-19.73</v>
      </c>
      <c r="S12" s="3" t="n">
        <v>-30.25</v>
      </c>
      <c r="T12" s="3" t="n">
        <v>-35.37</v>
      </c>
      <c r="U12" s="3" t="n">
        <v>-59.67</v>
      </c>
      <c r="V12" s="3" t="n">
        <v>27.59</v>
      </c>
      <c r="W12" s="3" t="n">
        <v>23.52</v>
      </c>
      <c r="X12" s="3" t="n">
        <v>4.61</v>
      </c>
      <c r="Y12" s="3" t="n">
        <v>68.67</v>
      </c>
      <c r="Z12" s="3" t="n">
        <v>1.2</v>
      </c>
      <c r="AA12" s="3" t="n">
        <v>-22.97</v>
      </c>
      <c r="AB12" s="5" t="n">
        <v>1.42</v>
      </c>
      <c r="AC12" s="3" t="n">
        <v/>
      </c>
      <c r="AD12" s="3" t="n">
        <v>3.47</v>
      </c>
      <c r="AE12" s="3" t="n">
        <v>71.98</v>
      </c>
    </row>
    <row r="13">
      <c r="A13" s="6" t="n">
        <v>46078.58111111111</v>
      </c>
      <c r="B13" s="7" t="n">
        <v>72.62</v>
      </c>
      <c r="C13" s="7" t="n">
        <v>86.45</v>
      </c>
      <c r="D13" s="8" t="n">
        <v>1.19</v>
      </c>
      <c r="E13" s="7" t="n">
        <v>114.11</v>
      </c>
      <c r="F13" s="7" t="n">
        <v>120.12</v>
      </c>
      <c r="G13" s="7" t="n">
        <v>6.24</v>
      </c>
      <c r="H13" s="7" t="n">
        <v>-17.09</v>
      </c>
      <c r="I13" s="7" t="n">
        <v>3.6</v>
      </c>
      <c r="J13" s="7" t="n">
        <v>2.73</v>
      </c>
      <c r="K13" s="7" t="n">
        <v>-0.87</v>
      </c>
      <c r="L13" s="7" t="n">
        <v>2.94</v>
      </c>
      <c r="M13" s="9" t="n">
        <v>-1.2</v>
      </c>
      <c r="N13" s="7" t="n">
        <v>33.01</v>
      </c>
      <c r="O13" s="7" t="n">
        <v>26.69</v>
      </c>
      <c r="P13" s="7" t="n">
        <v>34.3</v>
      </c>
      <c r="Q13" s="7" t="n">
        <v>5415.13</v>
      </c>
      <c r="R13" s="7" t="n">
        <v>-1.36</v>
      </c>
      <c r="S13" s="7" t="n">
        <v>-2.9</v>
      </c>
      <c r="T13" s="7" t="n">
        <v>14.65</v>
      </c>
      <c r="U13" s="7" t="n">
        <v>15.06</v>
      </c>
      <c r="V13" s="7" t="n">
        <v>69.98</v>
      </c>
      <c r="W13" s="7" t="n">
        <v>45.7</v>
      </c>
      <c r="X13" s="7" t="n">
        <v>3.21</v>
      </c>
      <c r="Y13" s="7" t="n">
        <v>71.04000000000001</v>
      </c>
      <c r="Z13" s="7" t="n">
        <v>1.13</v>
      </c>
      <c r="AA13" s="7" t="n">
        <v>-1.43</v>
      </c>
      <c r="AB13" s="9" t="n">
        <v>0.98</v>
      </c>
      <c r="AC13" s="7" t="n">
        <v/>
      </c>
      <c r="AD13" s="7" t="n">
        <v>4.92</v>
      </c>
      <c r="AE13" s="7" t="n">
        <v>71.76000000000001</v>
      </c>
    </row>
    <row r="15">
      <c r="A15" s="10" t="inlineStr">
        <is>
          <t>Pos Av</t>
        </is>
      </c>
      <c r="B15" s="11">
        <f>IF(COUNTIF(B2:B13,"&gt;0"),AVERAGEIF(B2:B13,"&gt;0"),"—")</f>
        <v/>
      </c>
      <c r="C15" s="11">
        <f>IF(COUNTIF(C2:C13,"&gt;0"),AVERAGEIF(C2:C13,"&gt;0"),"—")</f>
        <v/>
      </c>
      <c r="D15" s="12">
        <f>IF(COUNTIF(D2:D13,"&gt;0"),AVERAGEIF(D2:D13,"&gt;0"),"—")</f>
        <v/>
      </c>
      <c r="E15" s="11">
        <f>IF(COUNTIF(E2:E13,"&gt;0"),AVERAGEIF(E2:E13,"&gt;0"),"—")</f>
        <v/>
      </c>
      <c r="F15" s="11">
        <f>IF(COUNTIF(F2:F13,"&gt;0"),AVERAGEIF(F2:F13,"&gt;0"),"—")</f>
        <v/>
      </c>
      <c r="G15" s="11">
        <f>IF(COUNTIF(G2:G13,"&gt;0"),AVERAGEIF(G2:G13,"&gt;0"),"—")</f>
        <v/>
      </c>
      <c r="H15" s="11">
        <f>IF(COUNTIF(H2:H13,"&gt;0"),AVERAGEIF(H2:H13,"&gt;0"),"—")</f>
        <v/>
      </c>
      <c r="I15" s="11">
        <f>IF(COUNTIF(I2:I13,"&gt;0"),AVERAGEIF(I2:I13,"&gt;0"),"—")</f>
        <v/>
      </c>
      <c r="J15" s="11">
        <f>IF(COUNTIF(J2:J13,"&gt;0"),AVERAGEIF(J2:J13,"&gt;0"),"—")</f>
        <v/>
      </c>
      <c r="K15" s="11">
        <f>IF(COUNTIF(K2:K13,"&gt;0"),AVERAGEIF(K2:K13,"&gt;0"),"—")</f>
        <v/>
      </c>
      <c r="L15" s="11">
        <f>IF(COUNTIF(L2:L13,"&gt;0"),AVERAGEIF(L2:L13,"&gt;0"),"—")</f>
        <v/>
      </c>
      <c r="M15" s="13">
        <f>IF(COUNTIF(M2:M13,"&gt;0"),AVERAGEIF(M2:M13,"&gt;0"),"—")</f>
        <v/>
      </c>
      <c r="N15" s="11">
        <f>IF(COUNTIF(N2:N13,"&gt;0"),AVERAGEIF(N2:N13,"&gt;0"),"—")</f>
        <v/>
      </c>
      <c r="O15" s="11">
        <f>IF(COUNTIF(O2:O13,"&gt;0"),AVERAGEIF(O2:O13,"&gt;0"),"—")</f>
        <v/>
      </c>
      <c r="P15" s="11">
        <f>IF(COUNTIF(P2:P13,"&gt;0"),AVERAGEIF(P2:P13,"&gt;0"),"—")</f>
        <v/>
      </c>
      <c r="Q15" s="11">
        <f>IF(COUNTIF(Q2:Q13,"&gt;0"),AVERAGEIF(Q2:Q13,"&gt;0"),"—")</f>
        <v/>
      </c>
      <c r="R15" s="11">
        <f>IF(COUNTIF(R2:R13,"&gt;0"),AVERAGEIF(R2:R13,"&gt;0"),"—")</f>
        <v/>
      </c>
      <c r="S15" s="11">
        <f>IF(COUNTIF(S2:S13,"&gt;0"),AVERAGEIF(S2:S13,"&gt;0"),"—")</f>
        <v/>
      </c>
      <c r="T15" s="11">
        <f>IF(COUNTIF(T2:T13,"&gt;0"),AVERAGEIF(T2:T13,"&gt;0"),"—")</f>
        <v/>
      </c>
      <c r="U15" s="11">
        <f>IF(COUNTIF(U2:U13,"&gt;0"),AVERAGEIF(U2:U13,"&gt;0"),"—")</f>
        <v/>
      </c>
      <c r="V15" s="11">
        <f>IF(COUNTIF(V2:V13,"&gt;0"),AVERAGEIF(V2:V13,"&gt;0"),"—")</f>
        <v/>
      </c>
      <c r="W15" s="11">
        <f>IF(COUNTIF(W2:W13,"&gt;0"),AVERAGEIF(W2:W13,"&gt;0"),"—")</f>
        <v/>
      </c>
      <c r="X15" s="11">
        <f>IF(COUNTIF(X2:X13,"&gt;0"),AVERAGEIF(X2:X13,"&gt;0"),"—")</f>
        <v/>
      </c>
      <c r="Y15" s="11">
        <f>IF(COUNTIF(Y2:Y13,"&gt;0"),AVERAGEIF(Y2:Y13,"&gt;0"),"—")</f>
        <v/>
      </c>
      <c r="Z15" s="11">
        <f>IF(COUNTIF(Z2:Z13,"&gt;0"),AVERAGEIF(Z2:Z13,"&gt;0"),"—")</f>
        <v/>
      </c>
      <c r="AA15" s="11">
        <f>IF(COUNTIF(AA2:AA13,"&gt;0"),AVERAGEIF(AA2:AA13,"&gt;0"),"—")</f>
        <v/>
      </c>
      <c r="AB15" s="13">
        <f>IF(COUNTIF(AB2:AB13,"&gt;0"),AVERAGEIF(AB2:AB13,"&gt;0"),"—")</f>
        <v/>
      </c>
      <c r="AC15" s="11">
        <f>IF(COUNTIF(AC2:AC13,"&gt;0"),AVERAGEIF(AC2:AC13,"&gt;0"),"—")</f>
        <v/>
      </c>
      <c r="AD15" s="11">
        <f>IF(COUNTIF(AD2:AD13,"&gt;0"),AVERAGEIF(AD2:AD13,"&gt;0"),"—")</f>
        <v/>
      </c>
      <c r="AE15" s="11">
        <f>IF(COUNTIF(AE2:AE13,"&gt;0"),AVERAGEIF(AE2:AE13,"&gt;0"),"—")</f>
        <v/>
      </c>
    </row>
    <row r="16">
      <c r="A16" s="10" t="inlineStr">
        <is>
          <t>Neg Av</t>
        </is>
      </c>
      <c r="B16" s="11">
        <f>IF(COUNTIF(B2:B13,"&lt;0"),AVERAGEIF(B2:B13,"&lt;0"),"—")</f>
        <v/>
      </c>
      <c r="C16" s="11">
        <f>IF(COUNTIF(C2:C13,"&lt;0"),AVERAGEIF(C2:C13,"&lt;0"),"—")</f>
        <v/>
      </c>
      <c r="D16" s="12">
        <f>IF(COUNTIF(D2:D13,"&lt;0"),AVERAGEIF(D2:D13,"&lt;0"),"—")</f>
        <v/>
      </c>
      <c r="E16" s="11">
        <f>IF(COUNTIF(E2:E13,"&lt;0"),AVERAGEIF(E2:E13,"&lt;0"),"—")</f>
        <v/>
      </c>
      <c r="F16" s="11">
        <f>IF(COUNTIF(F2:F13,"&lt;0"),AVERAGEIF(F2:F13,"&lt;0"),"—")</f>
        <v/>
      </c>
      <c r="G16" s="11">
        <f>IF(COUNTIF(G2:G13,"&lt;0"),AVERAGEIF(G2:G13,"&lt;0"),"—")</f>
        <v/>
      </c>
      <c r="H16" s="11">
        <f>IF(COUNTIF(H2:H13,"&lt;0"),AVERAGEIF(H2:H13,"&lt;0"),"—")</f>
        <v/>
      </c>
      <c r="I16" s="11">
        <f>IF(COUNTIF(I2:I13,"&lt;0"),AVERAGEIF(I2:I13,"&lt;0"),"—")</f>
        <v/>
      </c>
      <c r="J16" s="11">
        <f>IF(COUNTIF(J2:J13,"&lt;0"),AVERAGEIF(J2:J13,"&lt;0"),"—")</f>
        <v/>
      </c>
      <c r="K16" s="11">
        <f>IF(COUNTIF(K2:K13,"&lt;0"),AVERAGEIF(K2:K13,"&lt;0"),"—")</f>
        <v/>
      </c>
      <c r="L16" s="11">
        <f>IF(COUNTIF(L2:L13,"&lt;0"),AVERAGEIF(L2:L13,"&lt;0"),"—")</f>
        <v/>
      </c>
      <c r="M16" s="13">
        <f>IF(COUNTIF(M2:M13,"&lt;0"),AVERAGEIF(M2:M13,"&lt;0"),"—")</f>
        <v/>
      </c>
      <c r="N16" s="11">
        <f>IF(COUNTIF(N2:N13,"&lt;0"),AVERAGEIF(N2:N13,"&lt;0"),"—")</f>
        <v/>
      </c>
      <c r="O16" s="11">
        <f>IF(COUNTIF(O2:O13,"&lt;0"),AVERAGEIF(O2:O13,"&lt;0"),"—")</f>
        <v/>
      </c>
      <c r="P16" s="11">
        <f>IF(COUNTIF(P2:P13,"&lt;0"),AVERAGEIF(P2:P13,"&lt;0"),"—")</f>
        <v/>
      </c>
      <c r="Q16" s="11">
        <f>IF(COUNTIF(Q2:Q13,"&lt;0"),AVERAGEIF(Q2:Q13,"&lt;0"),"—")</f>
        <v/>
      </c>
      <c r="R16" s="11">
        <f>IF(COUNTIF(R2:R13,"&lt;0"),AVERAGEIF(R2:R13,"&lt;0"),"—")</f>
        <v/>
      </c>
      <c r="S16" s="11">
        <f>IF(COUNTIF(S2:S13,"&lt;0"),AVERAGEIF(S2:S13,"&lt;0"),"—")</f>
        <v/>
      </c>
      <c r="T16" s="11">
        <f>IF(COUNTIF(T2:T13,"&lt;0"),AVERAGEIF(T2:T13,"&lt;0"),"—")</f>
        <v/>
      </c>
      <c r="U16" s="11">
        <f>IF(COUNTIF(U2:U13,"&lt;0"),AVERAGEIF(U2:U13,"&lt;0"),"—")</f>
        <v/>
      </c>
      <c r="V16" s="11">
        <f>IF(COUNTIF(V2:V13,"&lt;0"),AVERAGEIF(V2:V13,"&lt;0"),"—")</f>
        <v/>
      </c>
      <c r="W16" s="11">
        <f>IF(COUNTIF(W2:W13,"&lt;0"),AVERAGEIF(W2:W13,"&lt;0"),"—")</f>
        <v/>
      </c>
      <c r="X16" s="11">
        <f>IF(COUNTIF(X2:X13,"&lt;0"),AVERAGEIF(X2:X13,"&lt;0"),"—")</f>
        <v/>
      </c>
      <c r="Y16" s="11">
        <f>IF(COUNTIF(Y2:Y13,"&lt;0"),AVERAGEIF(Y2:Y13,"&lt;0"),"—")</f>
        <v/>
      </c>
      <c r="Z16" s="11">
        <f>IF(COUNTIF(Z2:Z13,"&lt;0"),AVERAGEIF(Z2:Z13,"&lt;0"),"—")</f>
        <v/>
      </c>
      <c r="AA16" s="11">
        <f>IF(COUNTIF(AA2:AA13,"&lt;0"),AVERAGEIF(AA2:AA13,"&lt;0"),"—")</f>
        <v/>
      </c>
      <c r="AB16" s="13">
        <f>IF(COUNTIF(AB2:AB13,"&lt;0"),AVERAGEIF(AB2:AB13,"&lt;0"),"—")</f>
        <v/>
      </c>
      <c r="AC16" s="11">
        <f>IF(COUNTIF(AC2:AC13,"&lt;0"),AVERAGEIF(AC2:AC13,"&lt;0"),"—")</f>
        <v/>
      </c>
      <c r="AD16" s="11">
        <f>IF(COUNTIF(AD2:AD13,"&lt;0"),AVERAGEIF(AD2:AD13,"&lt;0"),"—")</f>
        <v/>
      </c>
      <c r="AE16" s="11">
        <f>IF(COUNTIF(AE2:AE13,"&lt;0"),AVERAGEIF(AE2:AE13,"&lt;0"),"—")</f>
        <v/>
      </c>
    </row>
    <row r="17">
      <c r="A17" s="10" t="inlineStr">
        <is>
          <t>1 Av</t>
        </is>
      </c>
      <c r="B17" s="11">
        <f>IF(COUNTA(B2:B13),AVERAGE(B2:B13),"—")</f>
        <v/>
      </c>
      <c r="C17" s="11">
        <f>IF(COUNTA(C2:C13),AVERAGE(C2:C13),"—")</f>
        <v/>
      </c>
      <c r="D17" s="12">
        <f>IF(COUNTA(D2:D13),AVERAGE(D2:D13),"—")</f>
        <v/>
      </c>
      <c r="E17" s="11">
        <f>IF(COUNTA(E2:E13),AVERAGE(E2:E13),"—")</f>
        <v/>
      </c>
      <c r="F17" s="11">
        <f>IF(COUNTA(F2:F13),AVERAGE(F2:F13),"—")</f>
        <v/>
      </c>
      <c r="G17" s="11">
        <f>IF(COUNTA(G2:G13),AVERAGE(G2:G13),"—")</f>
        <v/>
      </c>
      <c r="H17" s="11">
        <f>IF(COUNTA(H2:H13),AVERAGE(H2:H13),"—")</f>
        <v/>
      </c>
      <c r="I17" s="11">
        <f>IF(COUNTA(I2:I13),AVERAGE(I2:I13),"—")</f>
        <v/>
      </c>
      <c r="J17" s="11">
        <f>IF(COUNTA(J2:J13),AVERAGE(J2:J13),"—")</f>
        <v/>
      </c>
      <c r="K17" s="11">
        <f>IF(COUNTA(K2:K13),AVERAGE(K2:K13),"—")</f>
        <v/>
      </c>
      <c r="L17" s="11">
        <f>IF(COUNTA(L2:L13),AVERAGE(L2:L13),"—")</f>
        <v/>
      </c>
      <c r="M17" s="13">
        <f>IF(COUNTA(M2:M13),AVERAGE(M2:M13),"—")</f>
        <v/>
      </c>
      <c r="N17" s="11">
        <f>IF(COUNTA(N2:N13),AVERAGE(N2:N13),"—")</f>
        <v/>
      </c>
      <c r="O17" s="11">
        <f>IF(COUNTA(O2:O13),AVERAGE(O2:O13),"—")</f>
        <v/>
      </c>
      <c r="P17" s="11">
        <f>IF(COUNTA(P2:P13),AVERAGE(P2:P13),"—")</f>
        <v/>
      </c>
      <c r="Q17" s="11">
        <f>IF(COUNTA(Q2:Q13),AVERAGE(Q2:Q13),"—")</f>
        <v/>
      </c>
      <c r="R17" s="11">
        <f>IF(COUNTA(R2:R13),AVERAGE(R2:R13),"—")</f>
        <v/>
      </c>
      <c r="S17" s="11">
        <f>IF(COUNTA(S2:S13),AVERAGE(S2:S13),"—")</f>
        <v/>
      </c>
      <c r="T17" s="11">
        <f>IF(COUNTA(T2:T13),AVERAGE(T2:T13),"—")</f>
        <v/>
      </c>
      <c r="U17" s="11">
        <f>IF(COUNTA(U2:U13),AVERAGE(U2:U13),"—")</f>
        <v/>
      </c>
      <c r="V17" s="11">
        <f>IF(COUNTA(V2:V13),AVERAGE(V2:V13),"—")</f>
        <v/>
      </c>
      <c r="W17" s="11">
        <f>IF(COUNTA(W2:W13),AVERAGE(W2:W13),"—")</f>
        <v/>
      </c>
      <c r="X17" s="11">
        <f>IF(COUNTA(X2:X13),AVERAGE(X2:X13),"—")</f>
        <v/>
      </c>
      <c r="Y17" s="11">
        <f>IF(COUNTA(Y2:Y13),AVERAGE(Y2:Y13),"—")</f>
        <v/>
      </c>
      <c r="Z17" s="11">
        <f>IF(COUNTA(Z2:Z13),AVERAGE(Z2:Z13),"—")</f>
        <v/>
      </c>
      <c r="AA17" s="11">
        <f>IF(COUNTA(AA2:AA13),AVERAGE(AA2:AA13),"—")</f>
        <v/>
      </c>
      <c r="AB17" s="13">
        <f>IF(COUNTA(AB2:AB13),AVERAGE(AB2:AB13),"—")</f>
        <v/>
      </c>
      <c r="AC17" s="11">
        <f>IF(COUNTA(AC2:AC13),AVERAGE(AC2:AC13),"—")</f>
        <v/>
      </c>
      <c r="AD17" s="11">
        <f>IF(COUNTA(AD2:AD13),AVERAGE(AD2:AD13),"—")</f>
        <v/>
      </c>
      <c r="AE17" s="11">
        <f>IF(COUNTA(AE2:AE13),AVERAGE(AE2:AE13),"—")</f>
        <v/>
      </c>
    </row>
    <row r="18">
      <c r="A18" s="10" t="inlineStr">
        <is>
          <t>Spread</t>
        </is>
      </c>
      <c r="B18" s="11">
        <f>IF(AND(ISNUMBER(B15),ISNUMBER(B16)),B15-B16,"—")</f>
        <v/>
      </c>
      <c r="C18" s="11">
        <f>IF(AND(ISNUMBER(C15),ISNUMBER(C16)),C15-C16,"—")</f>
        <v/>
      </c>
      <c r="D18" s="12">
        <f>IF(AND(ISNUMBER(D15),ISNUMBER(D16)),D15-D16,"—")</f>
        <v/>
      </c>
      <c r="E18" s="11">
        <f>IF(AND(ISNUMBER(E15),ISNUMBER(E16)),E15-E16,"—")</f>
        <v/>
      </c>
      <c r="F18" s="11">
        <f>IF(AND(ISNUMBER(F15),ISNUMBER(F16)),F15-F16,"—")</f>
        <v/>
      </c>
      <c r="G18" s="11">
        <f>IF(AND(ISNUMBER(G15),ISNUMBER(G16)),G15-G16,"—")</f>
        <v/>
      </c>
      <c r="H18" s="11">
        <f>IF(AND(ISNUMBER(H15),ISNUMBER(H16)),H15-H16,"—")</f>
        <v/>
      </c>
      <c r="I18" s="11">
        <f>IF(AND(ISNUMBER(I15),ISNUMBER(I16)),I15-I16,"—")</f>
        <v/>
      </c>
      <c r="J18" s="11">
        <f>IF(AND(ISNUMBER(J15),ISNUMBER(J16)),J15-J16,"—")</f>
        <v/>
      </c>
      <c r="K18" s="11">
        <f>IF(AND(ISNUMBER(K15),ISNUMBER(K16)),K15-K16,"—")</f>
        <v/>
      </c>
      <c r="L18" s="11">
        <f>IF(AND(ISNUMBER(L15),ISNUMBER(L16)),L15-L16,"—")</f>
        <v/>
      </c>
      <c r="M18" s="13">
        <f>IF(AND(ISNUMBER(M15),ISNUMBER(M16)),M15-M16,"—")</f>
        <v/>
      </c>
      <c r="N18" s="11">
        <f>IF(AND(ISNUMBER(N15),ISNUMBER(N16)),N15-N16,"—")</f>
        <v/>
      </c>
      <c r="O18" s="11">
        <f>IF(AND(ISNUMBER(O15),ISNUMBER(O16)),O15-O16,"—")</f>
        <v/>
      </c>
      <c r="P18" s="11">
        <f>IF(AND(ISNUMBER(P15),ISNUMBER(P16)),P15-P16,"—")</f>
        <v/>
      </c>
      <c r="Q18" s="11">
        <f>IF(AND(ISNUMBER(Q15),ISNUMBER(Q16)),Q15-Q16,"—")</f>
        <v/>
      </c>
      <c r="R18" s="11">
        <f>IF(AND(ISNUMBER(R15),ISNUMBER(R16)),R15-R16,"—")</f>
        <v/>
      </c>
      <c r="S18" s="11">
        <f>IF(AND(ISNUMBER(S15),ISNUMBER(S16)),S15-S16,"—")</f>
        <v/>
      </c>
      <c r="T18" s="11">
        <f>IF(AND(ISNUMBER(T15),ISNUMBER(T16)),T15-T16,"—")</f>
        <v/>
      </c>
      <c r="U18" s="11">
        <f>IF(AND(ISNUMBER(U15),ISNUMBER(U16)),U15-U16,"—")</f>
        <v/>
      </c>
      <c r="V18" s="11">
        <f>IF(AND(ISNUMBER(V15),ISNUMBER(V16)),V15-V16,"—")</f>
        <v/>
      </c>
      <c r="W18" s="11">
        <f>IF(AND(ISNUMBER(W15),ISNUMBER(W16)),W15-W16,"—")</f>
        <v/>
      </c>
      <c r="X18" s="11">
        <f>IF(AND(ISNUMBER(X15),ISNUMBER(X16)),X15-X16,"—")</f>
        <v/>
      </c>
      <c r="Y18" s="11">
        <f>IF(AND(ISNUMBER(Y15),ISNUMBER(Y16)),Y15-Y16,"—")</f>
        <v/>
      </c>
      <c r="Z18" s="11">
        <f>IF(AND(ISNUMBER(Z15),ISNUMBER(Z16)),Z15-Z16,"—")</f>
        <v/>
      </c>
      <c r="AA18" s="11">
        <f>IF(AND(ISNUMBER(AA15),ISNUMBER(AA16)),AA15-AA16,"—")</f>
        <v/>
      </c>
      <c r="AB18" s="13">
        <f>IF(AND(ISNUMBER(AB15),ISNUMBER(AB16)),AB15-AB16,"—")</f>
        <v/>
      </c>
      <c r="AC18" s="11">
        <f>IF(AND(ISNUMBER(AC15),ISNUMBER(AC16)),AC15-AC16,"—")</f>
        <v/>
      </c>
      <c r="AD18" s="11">
        <f>IF(AND(ISNUMBER(AD15),ISNUMBER(AD16)),AD15-AD16,"—")</f>
        <v/>
      </c>
      <c r="AE18" s="11">
        <f>IF(AND(ISNUMBER(AE15),ISNUMBER(AE16)),AE15-AE16,"—")</f>
        <v/>
      </c>
    </row>
    <row r="19">
      <c r="A19" s="10" t="inlineStr">
        <is>
          <t>% Pos</t>
        </is>
      </c>
      <c r="B19" s="14">
        <f>IF(COUNTA(B2:B13),COUNTIF(B2:B13,"&gt;0")/COUNTA(B2:B13),"—")</f>
        <v/>
      </c>
      <c r="C19" s="14">
        <f>IF(COUNTA(C2:C13),COUNTIF(C2:C13,"&gt;0")/COUNTA(C2:C13),"—")</f>
        <v/>
      </c>
      <c r="D19" s="14">
        <f>IF(COUNTA(D2:D13),COUNTIF(D2:D13,"&gt;0")/COUNTA(D2:D13),"—")</f>
        <v/>
      </c>
      <c r="E19" s="14">
        <f>IF(COUNTA(E2:E13),COUNTIF(E2:E13,"&gt;0")/COUNTA(E2:E13),"—")</f>
        <v/>
      </c>
      <c r="F19" s="14">
        <f>IF(COUNTA(F2:F13),COUNTIF(F2:F13,"&gt;0")/COUNTA(F2:F13),"—")</f>
        <v/>
      </c>
      <c r="G19" s="14">
        <f>IF(COUNTA(G2:G13),COUNTIF(G2:G13,"&gt;0")/COUNTA(G2:G13),"—")</f>
        <v/>
      </c>
      <c r="H19" s="14">
        <f>IF(COUNTA(H2:H13),COUNTIF(H2:H13,"&gt;0")/COUNTA(H2:H13),"—")</f>
        <v/>
      </c>
      <c r="I19" s="14">
        <f>IF(COUNTA(I2:I13),COUNTIF(I2:I13,"&gt;0")/COUNTA(I2:I13),"—")</f>
        <v/>
      </c>
      <c r="J19" s="14">
        <f>IF(COUNTA(J2:J13),COUNTIF(J2:J13,"&gt;0")/COUNTA(J2:J13),"—")</f>
        <v/>
      </c>
      <c r="K19" s="14">
        <f>IF(COUNTA(K2:K13),COUNTIF(K2:K13,"&gt;0")/COUNTA(K2:K13),"—")</f>
        <v/>
      </c>
      <c r="L19" s="14">
        <f>IF(COUNTA(L2:L13),COUNTIF(L2:L13,"&gt;0")/COUNTA(L2:L13),"—")</f>
        <v/>
      </c>
      <c r="M19" s="14">
        <f>IF(COUNTA(M2:M13),COUNTIF(M2:M13,"&gt;0")/COUNTA(M2:M13),"—")</f>
        <v/>
      </c>
      <c r="N19" s="14">
        <f>IF(COUNTA(N2:N13),COUNTIF(N2:N13,"&gt;0")/COUNTA(N2:N13),"—")</f>
        <v/>
      </c>
      <c r="O19" s="14">
        <f>IF(COUNTA(O2:O13),COUNTIF(O2:O13,"&gt;0")/COUNTA(O2:O13),"—")</f>
        <v/>
      </c>
      <c r="P19" s="14">
        <f>IF(COUNTA(P2:P13),COUNTIF(P2:P13,"&gt;0")/COUNTA(P2:P13),"—")</f>
        <v/>
      </c>
      <c r="Q19" s="14">
        <f>IF(COUNTA(Q2:Q13),COUNTIF(Q2:Q13,"&gt;0")/COUNTA(Q2:Q13),"—")</f>
        <v/>
      </c>
      <c r="R19" s="14">
        <f>IF(COUNTA(R2:R13),COUNTIF(R2:R13,"&gt;0")/COUNTA(R2:R13),"—")</f>
        <v/>
      </c>
      <c r="S19" s="14">
        <f>IF(COUNTA(S2:S13),COUNTIF(S2:S13,"&gt;0")/COUNTA(S2:S13),"—")</f>
        <v/>
      </c>
      <c r="T19" s="14">
        <f>IF(COUNTA(T2:T13),COUNTIF(T2:T13,"&gt;0")/COUNTA(T2:T13),"—")</f>
        <v/>
      </c>
      <c r="U19" s="14">
        <f>IF(COUNTA(U2:U13),COUNTIF(U2:U13,"&gt;0")/COUNTA(U2:U13),"—")</f>
        <v/>
      </c>
      <c r="V19" s="14">
        <f>IF(COUNTA(V2:V13),COUNTIF(V2:V13,"&gt;0")/COUNTA(V2:V13),"—")</f>
        <v/>
      </c>
      <c r="W19" s="14">
        <f>IF(COUNTA(W2:W13),COUNTIF(W2:W13,"&gt;0")/COUNTA(W2:W13),"—")</f>
        <v/>
      </c>
      <c r="X19" s="14">
        <f>IF(COUNTA(X2:X13),COUNTIF(X2:X13,"&gt;0")/COUNTA(X2:X13),"—")</f>
        <v/>
      </c>
      <c r="Y19" s="14">
        <f>IF(COUNTA(Y2:Y13),COUNTIF(Y2:Y13,"&gt;0")/COUNTA(Y2:Y13),"—")</f>
        <v/>
      </c>
      <c r="Z19" s="14">
        <f>IF(COUNTA(Z2:Z13),COUNTIF(Z2:Z13,"&gt;0")/COUNTA(Z2:Z13),"—")</f>
        <v/>
      </c>
      <c r="AA19" s="14">
        <f>IF(COUNTA(AA2:AA13),COUNTIF(AA2:AA13,"&gt;0")/COUNTA(AA2:AA13),"—")</f>
        <v/>
      </c>
      <c r="AB19" s="14">
        <f>IF(COUNTA(AB2:AB13),COUNTIF(AB2:AB13,"&gt;0")/COUNTA(AB2:AB13),"—")</f>
        <v/>
      </c>
      <c r="AC19" s="14">
        <f>IF(COUNTA(AC2:AC13),COUNTIF(AC2:AC13,"&gt;0")/COUNTA(AC2:AC13),"—")</f>
        <v/>
      </c>
      <c r="AD19" s="14">
        <f>IF(COUNTA(AD2:AD13),COUNTIF(AD2:AD13,"&gt;0")/COUNTA(AD2:AD13),"—")</f>
        <v/>
      </c>
      <c r="AE19" s="14">
        <f>IF(COUNTA(AE2:AE13),COUNTIF(AE2:AE13,"&gt;0")/COUNTA(AE2:AE13),"—")</f>
        <v/>
      </c>
    </row>
    <row r="20">
      <c r="A20" s="10" t="inlineStr">
        <is>
          <t>% Neg</t>
        </is>
      </c>
      <c r="B20" s="14">
        <f>IF(COUNTA(B2:B13),COUNTIF(B2:B13,"&lt;0")/COUNTA(B2:B13),"—")</f>
        <v/>
      </c>
      <c r="C20" s="14">
        <f>IF(COUNTA(C2:C13),COUNTIF(C2:C13,"&lt;0")/COUNTA(C2:C13),"—")</f>
        <v/>
      </c>
      <c r="D20" s="14">
        <f>IF(COUNTA(D2:D13),COUNTIF(D2:D13,"&lt;0")/COUNTA(D2:D13),"—")</f>
        <v/>
      </c>
      <c r="E20" s="14">
        <f>IF(COUNTA(E2:E13),COUNTIF(E2:E13,"&lt;0")/COUNTA(E2:E13),"—")</f>
        <v/>
      </c>
      <c r="F20" s="14">
        <f>IF(COUNTA(F2:F13),COUNTIF(F2:F13,"&lt;0")/COUNTA(F2:F13),"—")</f>
        <v/>
      </c>
      <c r="G20" s="14">
        <f>IF(COUNTA(G2:G13),COUNTIF(G2:G13,"&lt;0")/COUNTA(G2:G13),"—")</f>
        <v/>
      </c>
      <c r="H20" s="14">
        <f>IF(COUNTA(H2:H13),COUNTIF(H2:H13,"&lt;0")/COUNTA(H2:H13),"—")</f>
        <v/>
      </c>
      <c r="I20" s="14">
        <f>IF(COUNTA(I2:I13),COUNTIF(I2:I13,"&lt;0")/COUNTA(I2:I13),"—")</f>
        <v/>
      </c>
      <c r="J20" s="14">
        <f>IF(COUNTA(J2:J13),COUNTIF(J2:J13,"&lt;0")/COUNTA(J2:J13),"—")</f>
        <v/>
      </c>
      <c r="K20" s="14">
        <f>IF(COUNTA(K2:K13),COUNTIF(K2:K13,"&lt;0")/COUNTA(K2:K13),"—")</f>
        <v/>
      </c>
      <c r="L20" s="14">
        <f>IF(COUNTA(L2:L13),COUNTIF(L2:L13,"&lt;0")/COUNTA(L2:L13),"—")</f>
        <v/>
      </c>
      <c r="M20" s="14">
        <f>IF(COUNTA(M2:M13),COUNTIF(M2:M13,"&lt;0")/COUNTA(M2:M13),"—")</f>
        <v/>
      </c>
      <c r="N20" s="14">
        <f>IF(COUNTA(N2:N13),COUNTIF(N2:N13,"&lt;0")/COUNTA(N2:N13),"—")</f>
        <v/>
      </c>
      <c r="O20" s="14">
        <f>IF(COUNTA(O2:O13),COUNTIF(O2:O13,"&lt;0")/COUNTA(O2:O13),"—")</f>
        <v/>
      </c>
      <c r="P20" s="14">
        <f>IF(COUNTA(P2:P13),COUNTIF(P2:P13,"&lt;0")/COUNTA(P2:P13),"—")</f>
        <v/>
      </c>
      <c r="Q20" s="14">
        <f>IF(COUNTA(Q2:Q13),COUNTIF(Q2:Q13,"&lt;0")/COUNTA(Q2:Q13),"—")</f>
        <v/>
      </c>
      <c r="R20" s="14">
        <f>IF(COUNTA(R2:R13),COUNTIF(R2:R13,"&lt;0")/COUNTA(R2:R13),"—")</f>
        <v/>
      </c>
      <c r="S20" s="14">
        <f>IF(COUNTA(S2:S13),COUNTIF(S2:S13,"&lt;0")/COUNTA(S2:S13),"—")</f>
        <v/>
      </c>
      <c r="T20" s="14">
        <f>IF(COUNTA(T2:T13),COUNTIF(T2:T13,"&lt;0")/COUNTA(T2:T13),"—")</f>
        <v/>
      </c>
      <c r="U20" s="14">
        <f>IF(COUNTA(U2:U13),COUNTIF(U2:U13,"&lt;0")/COUNTA(U2:U13),"—")</f>
        <v/>
      </c>
      <c r="V20" s="14">
        <f>IF(COUNTA(V2:V13),COUNTIF(V2:V13,"&lt;0")/COUNTA(V2:V13),"—")</f>
        <v/>
      </c>
      <c r="W20" s="14">
        <f>IF(COUNTA(W2:W13),COUNTIF(W2:W13,"&lt;0")/COUNTA(W2:W13),"—")</f>
        <v/>
      </c>
      <c r="X20" s="14">
        <f>IF(COUNTA(X2:X13),COUNTIF(X2:X13,"&lt;0")/COUNTA(X2:X13),"—")</f>
        <v/>
      </c>
      <c r="Y20" s="14">
        <f>IF(COUNTA(Y2:Y13),COUNTIF(Y2:Y13,"&lt;0")/COUNTA(Y2:Y13),"—")</f>
        <v/>
      </c>
      <c r="Z20" s="14">
        <f>IF(COUNTA(Z2:Z13),COUNTIF(Z2:Z13,"&lt;0")/COUNTA(Z2:Z13),"—")</f>
        <v/>
      </c>
      <c r="AA20" s="14">
        <f>IF(COUNTA(AA2:AA13),COUNTIF(AA2:AA13,"&lt;0")/COUNTA(AA2:AA13),"—")</f>
        <v/>
      </c>
      <c r="AB20" s="14">
        <f>IF(COUNTA(AB2:AB13),COUNTIF(AB2:AB13,"&lt;0")/COUNTA(AB2:AB13),"—")</f>
        <v/>
      </c>
      <c r="AC20" s="14">
        <f>IF(COUNTA(AC2:AC13),COUNTIF(AC2:AC13,"&lt;0")/COUNTA(AC2:AC13),"—")</f>
        <v/>
      </c>
      <c r="AD20" s="14">
        <f>IF(COUNTA(AD2:AD13),COUNTIF(AD2:AD13,"&lt;0")/COUNTA(AD2:AD13),"—")</f>
        <v/>
      </c>
      <c r="AE20" s="14">
        <f>IF(COUNTA(AE2:AE13),COUNTIF(AE2:AE13,"&lt;0")/COUNTA(AE2:AE13),"—")</f>
        <v/>
      </c>
    </row>
  </sheetData>
  <autoFilter ref="A1:A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2026-03-19T16:53:12Z</dcterms:created>
  <dcterms:modified xsi:type="dcterms:W3CDTF">2026-03-19T16:53:13Z</dcterms:modified>
</cp:coreProperties>
</file>