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er - 3" sheetId="1" state="visible" r:id="rId1"/>
    <sheet name="5Wood" sheetId="2" state="visible" r:id="rId2"/>
    <sheet name="Driver - 2" sheetId="3" state="visible" r:id="rId3"/>
    <sheet name="Driver" sheetId="4" state="visible" r:id="rId4"/>
    <sheet name="5Wood - no heel weight" sheetId="5" state="visible" r:id="rId5"/>
    <sheet name="7Iron - 2" sheetId="6" state="visible" r:id="rId6"/>
    <sheet name="7Iron" sheetId="7" state="visible" r:id="rId7"/>
    <sheet name="All Data" sheetId="8" state="visible" r:id="rId8"/>
  </sheets>
  <definedNames>
    <definedName name="_xlnm._FilterDatabase" localSheetId="0" hidden="1">'Driver - 3'!$A$1:$AE$7</definedName>
    <definedName name="_xlnm._FilterDatabase" localSheetId="1" hidden="1">'5Wood'!$A$1:$AE$25</definedName>
    <definedName name="_xlnm._FilterDatabase" localSheetId="2" hidden="1">'Driver - 2'!$A$1:$AE$7</definedName>
    <definedName name="_xlnm._FilterDatabase" localSheetId="3" hidden="1">'Driver'!$A$1:$AE$9</definedName>
    <definedName name="_xlnm._FilterDatabase" localSheetId="4" hidden="1">'5Wood - no heel weight'!$A$1:$AE$7</definedName>
    <definedName name="_xlnm._FilterDatabase" localSheetId="5" hidden="1">'7Iron - 2'!$A$1:$AE$13</definedName>
    <definedName name="_xlnm._FilterDatabase" localSheetId="6" hidden="1">'7Iron'!$A$1:$AE$19</definedName>
    <definedName name="_xlnm._FilterDatabase" localSheetId="7" hidden="1">'All Data'!$A$1:$AE$81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0.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7F7F7"/>
        <bgColor rgb="00F7F7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164" fontId="0" fillId="2" borderId="0" applyAlignment="1" pivotButton="0" quotePrefix="0" xfId="0">
      <alignment horizontal="left" vertical="center"/>
    </xf>
    <xf numFmtId="1" fontId="0" fillId="2" borderId="0" applyAlignment="1" pivotButton="0" quotePrefix="0" xfId="0">
      <alignment horizontal="right" vertical="center"/>
    </xf>
    <xf numFmtId="2" fontId="0" fillId="2" borderId="0" applyAlignment="1" pivotButton="0" quotePrefix="0" xfId="0">
      <alignment horizontal="right" vertical="center"/>
    </xf>
    <xf numFmtId="165" fontId="0" fillId="2" borderId="0" applyAlignment="1" pivotButton="0" quotePrefix="0" xfId="0">
      <alignment horizontal="right" vertical="center"/>
    </xf>
    <xf numFmtId="164" fontId="0" fillId="0" borderId="0" applyAlignment="1" pivotButton="0" quotePrefix="0" xfId="0">
      <alignment horizontal="left" vertical="center"/>
    </xf>
    <xf numFmtId="1" fontId="0" fillId="0" borderId="0" applyAlignment="1" pivotButton="0" quotePrefix="0" xfId="0">
      <alignment horizontal="right" vertical="center"/>
    </xf>
    <xf numFmtId="2" fontId="0" fillId="0" borderId="0" applyAlignment="1" pivotButton="0" quotePrefix="0" xfId="0">
      <alignment horizontal="right" vertical="center"/>
    </xf>
    <xf numFmtId="165" fontId="0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/>
    </xf>
    <xf numFmtId="1" fontId="1" fillId="0" borderId="0" applyAlignment="1" pivotButton="0" quotePrefix="0" xfId="0">
      <alignment horizontal="right" vertical="center"/>
    </xf>
    <xf numFmtId="2" fontId="1" fillId="0" borderId="0" applyAlignment="1" pivotButton="0" quotePrefix="0" xfId="0">
      <alignment horizontal="right" vertical="center"/>
    </xf>
    <xf numFmtId="165" fontId="1" fillId="0" borderId="0" applyAlignment="1" pivotButton="0" quotePrefix="0" xfId="0">
      <alignment horizontal="right" vertical="center"/>
    </xf>
    <xf numFmtId="9" fontId="1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.3" customWidth="1" min="1" max="1"/>
  </cols>
  <sheetData>
    <row r="1" ht="70" customHeight="1">
      <c r="A1" s="1" t="inlineStr">
        <is>
          <t>Time</t>
        </is>
      </c>
      <c r="B1" s="1" t="inlineStr">
        <is>
          <t>Club Speed (Mph)</t>
        </is>
      </c>
      <c r="C1" s="1" t="inlineStr">
        <is>
          <t>Ball Speed (Mph)</t>
        </is>
      </c>
      <c r="D1" s="1" t="inlineStr">
        <is>
          <t>Smash Factor</t>
        </is>
      </c>
      <c r="E1" s="1" t="inlineStr">
        <is>
          <t>Carry (Yds)</t>
        </is>
      </c>
      <c r="F1" s="1" t="inlineStr">
        <is>
          <t>Total (Yds)</t>
        </is>
      </c>
      <c r="G1" s="1" t="inlineStr">
        <is>
          <t>Impact Height (mm)</t>
        </is>
      </c>
      <c r="H1" s="1" t="inlineStr">
        <is>
          <t>Impact Offset (mm)</t>
        </is>
      </c>
      <c r="I1" s="1" t="inlineStr">
        <is>
          <t>Club Path (Deg)</t>
        </is>
      </c>
      <c r="J1" s="1" t="inlineStr">
        <is>
          <t>Face Angle (Deg)</t>
        </is>
      </c>
      <c r="K1" s="1" t="inlineStr">
        <is>
          <t>Face To Path (Deg)</t>
        </is>
      </c>
      <c r="L1" s="1" t="inlineStr">
        <is>
          <t>Launch Direction (Deg)</t>
        </is>
      </c>
      <c r="M1" s="1" t="inlineStr">
        <is>
          <t>Attack Angle (Deg)</t>
        </is>
      </c>
      <c r="N1" s="1" t="inlineStr">
        <is>
          <t>Dynamic Loft (Deg)</t>
        </is>
      </c>
      <c r="O1" s="1" t="inlineStr">
        <is>
          <t>Launch Angle (Deg)</t>
        </is>
      </c>
      <c r="P1" s="1" t="inlineStr">
        <is>
          <t>Spin Loft (Deg)</t>
        </is>
      </c>
      <c r="Q1" s="1" t="inlineStr">
        <is>
          <t>Spin Rate (Rpm)</t>
        </is>
      </c>
      <c r="R1" s="1" t="inlineStr">
        <is>
          <t>Spin Axis (Deg)</t>
        </is>
      </c>
      <c r="S1" s="1" t="inlineStr">
        <is>
          <t>Curve (Ft)</t>
        </is>
      </c>
      <c r="T1" s="1" t="inlineStr">
        <is>
          <t>Carry Side (Ft)</t>
        </is>
      </c>
      <c r="U1" s="1" t="inlineStr">
        <is>
          <t>Total Side (Ft)</t>
        </is>
      </c>
      <c r="V1" s="1" t="inlineStr">
        <is>
          <t>Max Height (Ft)</t>
        </is>
      </c>
      <c r="W1" s="1" t="inlineStr">
        <is>
          <t>Landing Angle (Deg)</t>
        </is>
      </c>
      <c r="X1" s="1" t="inlineStr">
        <is>
          <t>Swing Direction (Deg)</t>
        </is>
      </c>
      <c r="Y1" s="1" t="inlineStr">
        <is>
          <t>Swing Plane (Deg)</t>
        </is>
      </c>
      <c r="Z1" s="1" t="inlineStr">
        <is>
          <t>Swing Radius</t>
        </is>
      </c>
      <c r="AA1" s="1" t="inlineStr">
        <is>
          <t>DPlane Tilt</t>
        </is>
      </c>
      <c r="AB1" s="1" t="inlineStr">
        <is>
          <t>Low Point (In)</t>
        </is>
      </c>
      <c r="AC1" s="1" t="inlineStr">
        <is>
          <t>Landing Height</t>
        </is>
      </c>
      <c r="AD1" s="1" t="inlineStr">
        <is>
          <t>Hang Time (Sec)</t>
        </is>
      </c>
      <c r="AE1" s="1" t="inlineStr">
        <is>
          <t>Dynamic Lie (Deg)</t>
        </is>
      </c>
    </row>
    <row r="2">
      <c r="A2" s="2" t="n">
        <v>46100.54594907408</v>
      </c>
      <c r="B2" s="3" t="n">
        <v>87.39</v>
      </c>
      <c r="C2" s="3" t="n">
        <v>125.23</v>
      </c>
      <c r="D2" s="4" t="n">
        <v>1.43</v>
      </c>
      <c r="E2" s="3" t="n">
        <v>197.21</v>
      </c>
      <c r="F2" s="3" t="n">
        <v>226.38</v>
      </c>
      <c r="G2" s="3" t="n">
        <v>24.39</v>
      </c>
      <c r="H2" s="3" t="n">
        <v>-15.86</v>
      </c>
      <c r="I2" s="3" t="n">
        <v>0.8</v>
      </c>
      <c r="J2" s="3" t="n">
        <v>-1.67</v>
      </c>
      <c r="K2" s="3" t="n">
        <v>-2.47</v>
      </c>
      <c r="L2" s="3" t="n">
        <v>-1.36</v>
      </c>
      <c r="M2" s="5" t="n">
        <v>1.8</v>
      </c>
      <c r="N2" s="3" t="n">
        <v>16.85</v>
      </c>
      <c r="O2" s="3" t="n">
        <v>14.98</v>
      </c>
      <c r="P2" s="3" t="n">
        <v>15.14</v>
      </c>
      <c r="Q2" s="3" t="n">
        <v>2349</v>
      </c>
      <c r="R2" s="3" t="n">
        <v>-0.35</v>
      </c>
      <c r="S2" s="3" t="n">
        <v>-1.2</v>
      </c>
      <c r="T2" s="3" t="n">
        <v>-15.23</v>
      </c>
      <c r="U2" s="3" t="n">
        <v>-17.68</v>
      </c>
      <c r="V2" s="3" t="n">
        <v>67.76000000000001</v>
      </c>
      <c r="W2" s="3" t="n">
        <v>32.78</v>
      </c>
      <c r="X2" s="3" t="n">
        <v>1.92</v>
      </c>
      <c r="Y2" s="3" t="n">
        <v>47.66</v>
      </c>
      <c r="Z2" s="3" t="n">
        <v>1.28</v>
      </c>
      <c r="AA2" s="3" t="n">
        <v>-8.710000000000001</v>
      </c>
      <c r="AB2" s="5" t="n">
        <v>-3.39</v>
      </c>
      <c r="AC2" s="3" t="n">
        <v/>
      </c>
      <c r="AD2" s="3" t="n">
        <v>5.41</v>
      </c>
      <c r="AE2" s="3" t="n">
        <v>64.91</v>
      </c>
    </row>
    <row r="3">
      <c r="A3" s="6" t="n">
        <v>46100.54748842592</v>
      </c>
      <c r="B3" s="7" t="n">
        <v>89.45</v>
      </c>
      <c r="C3" s="7" t="n">
        <v>131.79</v>
      </c>
      <c r="D3" s="8" t="n">
        <v>1.47</v>
      </c>
      <c r="E3" s="7" t="n">
        <v>209.91</v>
      </c>
      <c r="F3" s="7" t="n">
        <v>235.88</v>
      </c>
      <c r="G3" s="7" t="n">
        <v/>
      </c>
      <c r="H3" s="7" t="n">
        <v/>
      </c>
      <c r="I3" s="7" t="n">
        <v>2.5</v>
      </c>
      <c r="J3" s="7" t="n">
        <v>-0.16</v>
      </c>
      <c r="K3" s="7" t="n">
        <v>-2.66</v>
      </c>
      <c r="L3" s="7" t="n">
        <v>0.21</v>
      </c>
      <c r="M3" s="9" t="n">
        <v>0.7</v>
      </c>
      <c r="N3" s="7" t="n">
        <v>15.86</v>
      </c>
      <c r="O3" s="7" t="n">
        <v>13.87</v>
      </c>
      <c r="P3" s="7" t="n">
        <v>15.44</v>
      </c>
      <c r="Q3" s="7" t="n">
        <v>2643.16</v>
      </c>
      <c r="R3" s="7" t="n">
        <v>-7.11</v>
      </c>
      <c r="S3" s="7" t="n">
        <v>-29.65</v>
      </c>
      <c r="T3" s="7" t="n">
        <v>-27.35</v>
      </c>
      <c r="U3" s="7" t="n">
        <v>-35.03</v>
      </c>
      <c r="V3" s="7" t="n">
        <v>73.59</v>
      </c>
      <c r="W3" s="7" t="n">
        <v>34.45</v>
      </c>
      <c r="X3" s="7" t="n">
        <v>3.05</v>
      </c>
      <c r="Y3" s="7" t="n">
        <v>54.06</v>
      </c>
      <c r="Z3" s="7" t="n">
        <v>1.44</v>
      </c>
      <c r="AA3" s="7" t="n">
        <v>-9.949999999999999</v>
      </c>
      <c r="AB3" s="9" t="n">
        <v>-0.79</v>
      </c>
      <c r="AC3" s="7" t="n">
        <v/>
      </c>
      <c r="AD3" s="7" t="n">
        <v>5.76</v>
      </c>
      <c r="AE3" s="7" t="n">
        <v/>
      </c>
    </row>
    <row r="4">
      <c r="A4" s="2" t="n">
        <v>46100.54636574074</v>
      </c>
      <c r="B4" s="3" t="n">
        <v>89.58</v>
      </c>
      <c r="C4" s="3" t="n">
        <v>133.21</v>
      </c>
      <c r="D4" s="4" t="n">
        <v>1.49</v>
      </c>
      <c r="E4" s="3" t="n">
        <v>207.88</v>
      </c>
      <c r="F4" s="3" t="n">
        <v>241.29</v>
      </c>
      <c r="G4" s="3" t="n">
        <v/>
      </c>
      <c r="H4" s="3" t="n">
        <v/>
      </c>
      <c r="I4" s="3" t="n">
        <v>2.7</v>
      </c>
      <c r="J4" s="3" t="n">
        <v>-1.61</v>
      </c>
      <c r="K4" s="3" t="n">
        <v>-4.31</v>
      </c>
      <c r="L4" s="3" t="n">
        <v>-1.13</v>
      </c>
      <c r="M4" s="5" t="n">
        <v>1.3</v>
      </c>
      <c r="N4" s="3" t="n">
        <v>14.91</v>
      </c>
      <c r="O4" s="3" t="n">
        <v>13.47</v>
      </c>
      <c r="P4" s="3" t="n">
        <v>14.29</v>
      </c>
      <c r="Q4" s="3" t="n">
        <v>2008.09</v>
      </c>
      <c r="R4" s="3" t="n">
        <v>-11.84</v>
      </c>
      <c r="S4" s="3" t="n">
        <v>-38.26</v>
      </c>
      <c r="T4" s="3" t="n">
        <v>-50.58</v>
      </c>
      <c r="U4" s="3" t="n">
        <v>-65.66</v>
      </c>
      <c r="V4" s="3" t="n">
        <v>62.07</v>
      </c>
      <c r="W4" s="3" t="n">
        <v>29.17</v>
      </c>
      <c r="X4" s="3" t="n">
        <v>3.51</v>
      </c>
      <c r="Y4" s="3" t="n">
        <v>57.27</v>
      </c>
      <c r="Z4" s="3" t="n">
        <v>1.44</v>
      </c>
      <c r="AA4" s="3" t="n">
        <v>-17.09</v>
      </c>
      <c r="AB4" s="5" t="n">
        <v>-1.5</v>
      </c>
      <c r="AC4" s="3" t="n">
        <v/>
      </c>
      <c r="AD4" s="3" t="n">
        <v>5.19</v>
      </c>
      <c r="AE4" s="3" t="n">
        <v/>
      </c>
    </row>
    <row r="5">
      <c r="A5" s="6" t="n">
        <v>46100.54710648148</v>
      </c>
      <c r="B5" s="7" t="n">
        <v>89.23</v>
      </c>
      <c r="C5" s="7" t="n">
        <v>127.29</v>
      </c>
      <c r="D5" s="8" t="n">
        <v>1.43</v>
      </c>
      <c r="E5" s="7" t="n">
        <v>204.81</v>
      </c>
      <c r="F5" s="7" t="n">
        <v>232.6</v>
      </c>
      <c r="G5" s="7" t="n">
        <v>22.94</v>
      </c>
      <c r="H5" s="7" t="n">
        <v>-9.890000000000001</v>
      </c>
      <c r="I5" s="7" t="n">
        <v>2.6</v>
      </c>
      <c r="J5" s="7" t="n">
        <v>-0.13</v>
      </c>
      <c r="K5" s="7" t="n">
        <v>-2.73</v>
      </c>
      <c r="L5" s="7" t="n">
        <v>0.18</v>
      </c>
      <c r="M5" s="9" t="n">
        <v>2.8</v>
      </c>
      <c r="N5" s="7" t="n">
        <v>17.96</v>
      </c>
      <c r="O5" s="7" t="n">
        <v>16.3</v>
      </c>
      <c r="P5" s="7" t="n">
        <v>15.33</v>
      </c>
      <c r="Q5" s="7" t="n">
        <v>2128.04</v>
      </c>
      <c r="R5" s="7" t="n">
        <v>-5.35</v>
      </c>
      <c r="S5" s="7" t="n">
        <v>-18.45</v>
      </c>
      <c r="T5" s="7" t="n">
        <v>-16.5</v>
      </c>
      <c r="U5" s="7" t="n">
        <v>-21.51</v>
      </c>
      <c r="V5" s="7" t="n">
        <v>75.14</v>
      </c>
      <c r="W5" s="7" t="n">
        <v>34.11</v>
      </c>
      <c r="X5" s="7" t="n">
        <v>4.54</v>
      </c>
      <c r="Y5" s="7" t="n">
        <v>50.2</v>
      </c>
      <c r="Z5" s="7" t="n">
        <v>1.39</v>
      </c>
      <c r="AA5" s="7" t="n">
        <v>-9.869999999999999</v>
      </c>
      <c r="AB5" s="9" t="n">
        <v>-4.76</v>
      </c>
      <c r="AC5" s="7" t="n">
        <v/>
      </c>
      <c r="AD5" s="7" t="n">
        <v>5.58</v>
      </c>
      <c r="AE5" s="7" t="n">
        <v>59.64</v>
      </c>
    </row>
    <row r="6">
      <c r="A6" s="2" t="n">
        <v>46100.54672453704</v>
      </c>
      <c r="B6" s="3" t="n">
        <v>89.75</v>
      </c>
      <c r="C6" s="3" t="n">
        <v>128.98</v>
      </c>
      <c r="D6" s="4" t="n">
        <v>1.44</v>
      </c>
      <c r="E6" s="3" t="n">
        <v>175.02</v>
      </c>
      <c r="F6" s="3" t="n">
        <v>212.48</v>
      </c>
      <c r="G6" s="3" t="n">
        <v/>
      </c>
      <c r="H6" s="3" t="n">
        <v/>
      </c>
      <c r="I6" s="3" t="n">
        <v>4</v>
      </c>
      <c r="J6" s="3" t="n">
        <v>-6.42</v>
      </c>
      <c r="K6" s="3" t="n">
        <v>-10.43</v>
      </c>
      <c r="L6" s="3" t="n">
        <v>-5.37</v>
      </c>
      <c r="M6" s="5" t="n">
        <v>3.2</v>
      </c>
      <c r="N6" s="3" t="n">
        <v>12.75</v>
      </c>
      <c r="O6" s="3" t="n">
        <v>11.82</v>
      </c>
      <c r="P6" s="3" t="n">
        <v>13.96</v>
      </c>
      <c r="Q6" s="3" t="n">
        <v>1784.89</v>
      </c>
      <c r="R6" s="3" t="n">
        <v>-31.32</v>
      </c>
      <c r="S6" s="3" t="n">
        <v>-62.61</v>
      </c>
      <c r="T6" s="3" t="n">
        <v>-111.08</v>
      </c>
      <c r="U6" s="3" t="n">
        <v>-150.99</v>
      </c>
      <c r="V6" s="3" t="n">
        <v>39.65</v>
      </c>
      <c r="W6" s="3" t="n">
        <v>21.61</v>
      </c>
      <c r="X6" s="3" t="n">
        <v>5.72</v>
      </c>
      <c r="Y6" s="3" t="n">
        <v>55.97</v>
      </c>
      <c r="Z6" s="3" t="n">
        <v>1.37</v>
      </c>
      <c r="AA6" s="3" t="n">
        <v>-46.55</v>
      </c>
      <c r="AB6" s="5" t="n">
        <v>-5</v>
      </c>
      <c r="AC6" s="3" t="n">
        <v/>
      </c>
      <c r="AD6" s="3" t="n">
        <v>4.04</v>
      </c>
      <c r="AE6" s="3" t="n">
        <v/>
      </c>
    </row>
    <row r="7">
      <c r="A7" s="6" t="n">
        <v>46100.54777777778</v>
      </c>
      <c r="B7" s="7" t="n">
        <v>89.40000000000001</v>
      </c>
      <c r="C7" s="7" t="n">
        <v>132.83</v>
      </c>
      <c r="D7" s="8" t="n">
        <v>1.49</v>
      </c>
      <c r="E7" s="7" t="n">
        <v>213.34</v>
      </c>
      <c r="F7" s="7" t="n">
        <v>244.93</v>
      </c>
      <c r="G7" s="7" t="n">
        <v/>
      </c>
      <c r="H7" s="7" t="n">
        <v/>
      </c>
      <c r="I7" s="7" t="n">
        <v>4.3</v>
      </c>
      <c r="J7" s="7" t="n">
        <v>2.04</v>
      </c>
      <c r="K7" s="7" t="n">
        <v>-2.26</v>
      </c>
      <c r="L7" s="7" t="n">
        <v>2.27</v>
      </c>
      <c r="M7" s="9" t="n">
        <v>1.1</v>
      </c>
      <c r="N7" s="7" t="n">
        <v>16.38</v>
      </c>
      <c r="O7" s="7" t="n">
        <v>14.9</v>
      </c>
      <c r="P7" s="7" t="n">
        <v>15.43</v>
      </c>
      <c r="Q7" s="7" t="n">
        <v>1969</v>
      </c>
      <c r="R7" s="7" t="n">
        <v>-6.27</v>
      </c>
      <c r="S7" s="7" t="n">
        <v>-21.47</v>
      </c>
      <c r="T7" s="7" t="n">
        <v>3.85</v>
      </c>
      <c r="U7" s="7" t="n">
        <v>0.93</v>
      </c>
      <c r="V7" s="7" t="n">
        <v>71.26000000000001</v>
      </c>
      <c r="W7" s="7" t="n">
        <v>31.9</v>
      </c>
      <c r="X7" s="7" t="n">
        <v>5.06</v>
      </c>
      <c r="Y7" s="7" t="n">
        <v>54.99</v>
      </c>
      <c r="Z7" s="7" t="n">
        <v>1.4</v>
      </c>
      <c r="AA7" s="7" t="n">
        <v>-8.119999999999999</v>
      </c>
      <c r="AB7" s="9" t="n">
        <v>-1.3</v>
      </c>
      <c r="AC7" s="7" t="n">
        <v/>
      </c>
      <c r="AD7" s="7" t="n">
        <v>5.48</v>
      </c>
      <c r="AE7" s="7" t="n">
        <v/>
      </c>
    </row>
    <row r="9">
      <c r="A9" s="10" t="inlineStr">
        <is>
          <t>Pos Av</t>
        </is>
      </c>
      <c r="B9" s="11">
        <f>IF(COUNTIF(B2:B7,"&gt;0"),AVERAGEIF(B2:B7,"&gt;0"),"—")</f>
        <v/>
      </c>
      <c r="C9" s="11">
        <f>IF(COUNTIF(C2:C7,"&gt;0"),AVERAGEIF(C2:C7,"&gt;0"),"—")</f>
        <v/>
      </c>
      <c r="D9" s="12">
        <f>IF(COUNTIF(D2:D7,"&gt;0"),AVERAGEIF(D2:D7,"&gt;0"),"—")</f>
        <v/>
      </c>
      <c r="E9" s="11">
        <f>IF(COUNTIF(E2:E7,"&gt;0"),AVERAGEIF(E2:E7,"&gt;0"),"—")</f>
        <v/>
      </c>
      <c r="F9" s="11">
        <f>IF(COUNTIF(F2:F7,"&gt;0"),AVERAGEIF(F2:F7,"&gt;0"),"—")</f>
        <v/>
      </c>
      <c r="G9" s="11">
        <f>IF(COUNTIF(G2:G7,"&gt;0"),AVERAGEIF(G2:G7,"&gt;0"),"—")</f>
        <v/>
      </c>
      <c r="H9" s="11">
        <f>IF(COUNTIF(H2:H7,"&gt;0"),AVERAGEIF(H2:H7,"&gt;0"),"—")</f>
        <v/>
      </c>
      <c r="I9" s="11">
        <f>IF(COUNTIF(I2:I7,"&gt;0"),AVERAGEIF(I2:I7,"&gt;0"),"—")</f>
        <v/>
      </c>
      <c r="J9" s="11">
        <f>IF(COUNTIF(J2:J7,"&gt;0"),AVERAGEIF(J2:J7,"&gt;0"),"—")</f>
        <v/>
      </c>
      <c r="K9" s="11">
        <f>IF(COUNTIF(K2:K7,"&gt;0"),AVERAGEIF(K2:K7,"&gt;0"),"—")</f>
        <v/>
      </c>
      <c r="L9" s="11">
        <f>IF(COUNTIF(L2:L7,"&gt;0"),AVERAGEIF(L2:L7,"&gt;0"),"—")</f>
        <v/>
      </c>
      <c r="M9" s="13">
        <f>IF(COUNTIF(M2:M7,"&gt;0"),AVERAGEIF(M2:M7,"&gt;0"),"—")</f>
        <v/>
      </c>
      <c r="N9" s="11">
        <f>IF(COUNTIF(N2:N7,"&gt;0"),AVERAGEIF(N2:N7,"&gt;0"),"—")</f>
        <v/>
      </c>
      <c r="O9" s="11">
        <f>IF(COUNTIF(O2:O7,"&gt;0"),AVERAGEIF(O2:O7,"&gt;0"),"—")</f>
        <v/>
      </c>
      <c r="P9" s="11">
        <f>IF(COUNTIF(P2:P7,"&gt;0"),AVERAGEIF(P2:P7,"&gt;0"),"—")</f>
        <v/>
      </c>
      <c r="Q9" s="11">
        <f>IF(COUNTIF(Q2:Q7,"&gt;0"),AVERAGEIF(Q2:Q7,"&gt;0"),"—")</f>
        <v/>
      </c>
      <c r="R9" s="11">
        <f>IF(COUNTIF(R2:R7,"&gt;0"),AVERAGEIF(R2:R7,"&gt;0"),"—")</f>
        <v/>
      </c>
      <c r="S9" s="11">
        <f>IF(COUNTIF(S2:S7,"&gt;0"),AVERAGEIF(S2:S7,"&gt;0"),"—")</f>
        <v/>
      </c>
      <c r="T9" s="11">
        <f>IF(COUNTIF(T2:T7,"&gt;0"),AVERAGEIF(T2:T7,"&gt;0"),"—")</f>
        <v/>
      </c>
      <c r="U9" s="11">
        <f>IF(COUNTIF(U2:U7,"&gt;0"),AVERAGEIF(U2:U7,"&gt;0"),"—")</f>
        <v/>
      </c>
      <c r="V9" s="11">
        <f>IF(COUNTIF(V2:V7,"&gt;0"),AVERAGEIF(V2:V7,"&gt;0"),"—")</f>
        <v/>
      </c>
      <c r="W9" s="11">
        <f>IF(COUNTIF(W2:W7,"&gt;0"),AVERAGEIF(W2:W7,"&gt;0"),"—")</f>
        <v/>
      </c>
      <c r="X9" s="11">
        <f>IF(COUNTIF(X2:X7,"&gt;0"),AVERAGEIF(X2:X7,"&gt;0"),"—")</f>
        <v/>
      </c>
      <c r="Y9" s="11">
        <f>IF(COUNTIF(Y2:Y7,"&gt;0"),AVERAGEIF(Y2:Y7,"&gt;0"),"—")</f>
        <v/>
      </c>
      <c r="Z9" s="11">
        <f>IF(COUNTIF(Z2:Z7,"&gt;0"),AVERAGEIF(Z2:Z7,"&gt;0"),"—")</f>
        <v/>
      </c>
      <c r="AA9" s="11">
        <f>IF(COUNTIF(AA2:AA7,"&gt;0"),AVERAGEIF(AA2:AA7,"&gt;0"),"—")</f>
        <v/>
      </c>
      <c r="AB9" s="13">
        <f>IF(COUNTIF(AB2:AB7,"&gt;0"),AVERAGEIF(AB2:AB7,"&gt;0"),"—")</f>
        <v/>
      </c>
      <c r="AC9" s="11">
        <f>IF(COUNTIF(AC2:AC7,"&gt;0"),AVERAGEIF(AC2:AC7,"&gt;0"),"—")</f>
        <v/>
      </c>
      <c r="AD9" s="11">
        <f>IF(COUNTIF(AD2:AD7,"&gt;0"),AVERAGEIF(AD2:AD7,"&gt;0"),"—")</f>
        <v/>
      </c>
      <c r="AE9" s="11">
        <f>IF(COUNTIF(AE2:AE7,"&gt;0"),AVERAGEIF(AE2:AE7,"&gt;0"),"—")</f>
        <v/>
      </c>
    </row>
    <row r="10">
      <c r="A10" s="10" t="inlineStr">
        <is>
          <t>Neg Av</t>
        </is>
      </c>
      <c r="B10" s="11">
        <f>IF(COUNTIF(B2:B7,"&lt;0"),AVERAGEIF(B2:B7,"&lt;0"),"—")</f>
        <v/>
      </c>
      <c r="C10" s="11">
        <f>IF(COUNTIF(C2:C7,"&lt;0"),AVERAGEIF(C2:C7,"&lt;0"),"—")</f>
        <v/>
      </c>
      <c r="D10" s="12">
        <f>IF(COUNTIF(D2:D7,"&lt;0"),AVERAGEIF(D2:D7,"&lt;0"),"—")</f>
        <v/>
      </c>
      <c r="E10" s="11">
        <f>IF(COUNTIF(E2:E7,"&lt;0"),AVERAGEIF(E2:E7,"&lt;0"),"—")</f>
        <v/>
      </c>
      <c r="F10" s="11">
        <f>IF(COUNTIF(F2:F7,"&lt;0"),AVERAGEIF(F2:F7,"&lt;0"),"—")</f>
        <v/>
      </c>
      <c r="G10" s="11">
        <f>IF(COUNTIF(G2:G7,"&lt;0"),AVERAGEIF(G2:G7,"&lt;0"),"—")</f>
        <v/>
      </c>
      <c r="H10" s="11">
        <f>IF(COUNTIF(H2:H7,"&lt;0"),AVERAGEIF(H2:H7,"&lt;0"),"—")</f>
        <v/>
      </c>
      <c r="I10" s="11">
        <f>IF(COUNTIF(I2:I7,"&lt;0"),AVERAGEIF(I2:I7,"&lt;0"),"—")</f>
        <v/>
      </c>
      <c r="J10" s="11">
        <f>IF(COUNTIF(J2:J7,"&lt;0"),AVERAGEIF(J2:J7,"&lt;0"),"—")</f>
        <v/>
      </c>
      <c r="K10" s="11">
        <f>IF(COUNTIF(K2:K7,"&lt;0"),AVERAGEIF(K2:K7,"&lt;0"),"—")</f>
        <v/>
      </c>
      <c r="L10" s="11">
        <f>IF(COUNTIF(L2:L7,"&lt;0"),AVERAGEIF(L2:L7,"&lt;0"),"—")</f>
        <v/>
      </c>
      <c r="M10" s="13">
        <f>IF(COUNTIF(M2:M7,"&lt;0"),AVERAGEIF(M2:M7,"&lt;0"),"—")</f>
        <v/>
      </c>
      <c r="N10" s="11">
        <f>IF(COUNTIF(N2:N7,"&lt;0"),AVERAGEIF(N2:N7,"&lt;0"),"—")</f>
        <v/>
      </c>
      <c r="O10" s="11">
        <f>IF(COUNTIF(O2:O7,"&lt;0"),AVERAGEIF(O2:O7,"&lt;0"),"—")</f>
        <v/>
      </c>
      <c r="P10" s="11">
        <f>IF(COUNTIF(P2:P7,"&lt;0"),AVERAGEIF(P2:P7,"&lt;0"),"—")</f>
        <v/>
      </c>
      <c r="Q10" s="11">
        <f>IF(COUNTIF(Q2:Q7,"&lt;0"),AVERAGEIF(Q2:Q7,"&lt;0"),"—")</f>
        <v/>
      </c>
      <c r="R10" s="11">
        <f>IF(COUNTIF(R2:R7,"&lt;0"),AVERAGEIF(R2:R7,"&lt;0"),"—")</f>
        <v/>
      </c>
      <c r="S10" s="11">
        <f>IF(COUNTIF(S2:S7,"&lt;0"),AVERAGEIF(S2:S7,"&lt;0"),"—")</f>
        <v/>
      </c>
      <c r="T10" s="11">
        <f>IF(COUNTIF(T2:T7,"&lt;0"),AVERAGEIF(T2:T7,"&lt;0"),"—")</f>
        <v/>
      </c>
      <c r="U10" s="11">
        <f>IF(COUNTIF(U2:U7,"&lt;0"),AVERAGEIF(U2:U7,"&lt;0"),"—")</f>
        <v/>
      </c>
      <c r="V10" s="11">
        <f>IF(COUNTIF(V2:V7,"&lt;0"),AVERAGEIF(V2:V7,"&lt;0"),"—")</f>
        <v/>
      </c>
      <c r="W10" s="11">
        <f>IF(COUNTIF(W2:W7,"&lt;0"),AVERAGEIF(W2:W7,"&lt;0"),"—")</f>
        <v/>
      </c>
      <c r="X10" s="11">
        <f>IF(COUNTIF(X2:X7,"&lt;0"),AVERAGEIF(X2:X7,"&lt;0"),"—")</f>
        <v/>
      </c>
      <c r="Y10" s="11">
        <f>IF(COUNTIF(Y2:Y7,"&lt;0"),AVERAGEIF(Y2:Y7,"&lt;0"),"—")</f>
        <v/>
      </c>
      <c r="Z10" s="11">
        <f>IF(COUNTIF(Z2:Z7,"&lt;0"),AVERAGEIF(Z2:Z7,"&lt;0"),"—")</f>
        <v/>
      </c>
      <c r="AA10" s="11">
        <f>IF(COUNTIF(AA2:AA7,"&lt;0"),AVERAGEIF(AA2:AA7,"&lt;0"),"—")</f>
        <v/>
      </c>
      <c r="AB10" s="13">
        <f>IF(COUNTIF(AB2:AB7,"&lt;0"),AVERAGEIF(AB2:AB7,"&lt;0"),"—")</f>
        <v/>
      </c>
      <c r="AC10" s="11">
        <f>IF(COUNTIF(AC2:AC7,"&lt;0"),AVERAGEIF(AC2:AC7,"&lt;0"),"—")</f>
        <v/>
      </c>
      <c r="AD10" s="11">
        <f>IF(COUNTIF(AD2:AD7,"&lt;0"),AVERAGEIF(AD2:AD7,"&lt;0"),"—")</f>
        <v/>
      </c>
      <c r="AE10" s="11">
        <f>IF(COUNTIF(AE2:AE7,"&lt;0"),AVERAGEIF(AE2:AE7,"&lt;0"),"—")</f>
        <v/>
      </c>
    </row>
    <row r="11">
      <c r="A11" s="10" t="inlineStr">
        <is>
          <t>1 Av</t>
        </is>
      </c>
      <c r="B11" s="11">
        <f>IF(COUNTA(B2:B7),AVERAGE(B2:B7),"—")</f>
        <v/>
      </c>
      <c r="C11" s="11">
        <f>IF(COUNTA(C2:C7),AVERAGE(C2:C7),"—")</f>
        <v/>
      </c>
      <c r="D11" s="12">
        <f>IF(COUNTA(D2:D7),AVERAGE(D2:D7),"—")</f>
        <v/>
      </c>
      <c r="E11" s="11">
        <f>IF(COUNTA(E2:E7),AVERAGE(E2:E7),"—")</f>
        <v/>
      </c>
      <c r="F11" s="11">
        <f>IF(COUNTA(F2:F7),AVERAGE(F2:F7),"—")</f>
        <v/>
      </c>
      <c r="G11" s="11">
        <f>IF(COUNTA(G2:G7),AVERAGE(G2:G7),"—")</f>
        <v/>
      </c>
      <c r="H11" s="11">
        <f>IF(COUNTA(H2:H7),AVERAGE(H2:H7),"—")</f>
        <v/>
      </c>
      <c r="I11" s="11">
        <f>IF(COUNTA(I2:I7),AVERAGE(I2:I7),"—")</f>
        <v/>
      </c>
      <c r="J11" s="11">
        <f>IF(COUNTA(J2:J7),AVERAGE(J2:J7),"—")</f>
        <v/>
      </c>
      <c r="K11" s="11">
        <f>IF(COUNTA(K2:K7),AVERAGE(K2:K7),"—")</f>
        <v/>
      </c>
      <c r="L11" s="11">
        <f>IF(COUNTA(L2:L7),AVERAGE(L2:L7),"—")</f>
        <v/>
      </c>
      <c r="M11" s="13">
        <f>IF(COUNTA(M2:M7),AVERAGE(M2:M7),"—")</f>
        <v/>
      </c>
      <c r="N11" s="11">
        <f>IF(COUNTA(N2:N7),AVERAGE(N2:N7),"—")</f>
        <v/>
      </c>
      <c r="O11" s="11">
        <f>IF(COUNTA(O2:O7),AVERAGE(O2:O7),"—")</f>
        <v/>
      </c>
      <c r="P11" s="11">
        <f>IF(COUNTA(P2:P7),AVERAGE(P2:P7),"—")</f>
        <v/>
      </c>
      <c r="Q11" s="11">
        <f>IF(COUNTA(Q2:Q7),AVERAGE(Q2:Q7),"—")</f>
        <v/>
      </c>
      <c r="R11" s="11">
        <f>IF(COUNTA(R2:R7),AVERAGE(R2:R7),"—")</f>
        <v/>
      </c>
      <c r="S11" s="11">
        <f>IF(COUNTA(S2:S7),AVERAGE(S2:S7),"—")</f>
        <v/>
      </c>
      <c r="T11" s="11">
        <f>IF(COUNTA(T2:T7),AVERAGE(T2:T7),"—")</f>
        <v/>
      </c>
      <c r="U11" s="11">
        <f>IF(COUNTA(U2:U7),AVERAGE(U2:U7),"—")</f>
        <v/>
      </c>
      <c r="V11" s="11">
        <f>IF(COUNTA(V2:V7),AVERAGE(V2:V7),"—")</f>
        <v/>
      </c>
      <c r="W11" s="11">
        <f>IF(COUNTA(W2:W7),AVERAGE(W2:W7),"—")</f>
        <v/>
      </c>
      <c r="X11" s="11">
        <f>IF(COUNTA(X2:X7),AVERAGE(X2:X7),"—")</f>
        <v/>
      </c>
      <c r="Y11" s="11">
        <f>IF(COUNTA(Y2:Y7),AVERAGE(Y2:Y7),"—")</f>
        <v/>
      </c>
      <c r="Z11" s="11">
        <f>IF(COUNTA(Z2:Z7),AVERAGE(Z2:Z7),"—")</f>
        <v/>
      </c>
      <c r="AA11" s="11">
        <f>IF(COUNTA(AA2:AA7),AVERAGE(AA2:AA7),"—")</f>
        <v/>
      </c>
      <c r="AB11" s="13">
        <f>IF(COUNTA(AB2:AB7),AVERAGE(AB2:AB7),"—")</f>
        <v/>
      </c>
      <c r="AC11" s="11">
        <f>IF(COUNTA(AC2:AC7),AVERAGE(AC2:AC7),"—")</f>
        <v/>
      </c>
      <c r="AD11" s="11">
        <f>IF(COUNTA(AD2:AD7),AVERAGE(AD2:AD7),"—")</f>
        <v/>
      </c>
      <c r="AE11" s="11">
        <f>IF(COUNTA(AE2:AE7),AVERAGE(AE2:AE7),"—")</f>
        <v/>
      </c>
    </row>
    <row r="12">
      <c r="A12" s="10" t="inlineStr">
        <is>
          <t>Spread</t>
        </is>
      </c>
      <c r="B12" s="11">
        <f>IF(AND(ISNUMBER(B9),ISNUMBER(B10)),B9-B10,"—")</f>
        <v/>
      </c>
      <c r="C12" s="11">
        <f>IF(AND(ISNUMBER(C9),ISNUMBER(C10)),C9-C10,"—")</f>
        <v/>
      </c>
      <c r="D12" s="12">
        <f>IF(AND(ISNUMBER(D9),ISNUMBER(D10)),D9-D10,"—")</f>
        <v/>
      </c>
      <c r="E12" s="11">
        <f>IF(AND(ISNUMBER(E9),ISNUMBER(E10)),E9-E10,"—")</f>
        <v/>
      </c>
      <c r="F12" s="11">
        <f>IF(AND(ISNUMBER(F9),ISNUMBER(F10)),F9-F10,"—")</f>
        <v/>
      </c>
      <c r="G12" s="11">
        <f>IF(AND(ISNUMBER(G9),ISNUMBER(G10)),G9-G10,"—")</f>
        <v/>
      </c>
      <c r="H12" s="11">
        <f>IF(AND(ISNUMBER(H9),ISNUMBER(H10)),H9-H10,"—")</f>
        <v/>
      </c>
      <c r="I12" s="11">
        <f>IF(AND(ISNUMBER(I9),ISNUMBER(I10)),I9-I10,"—")</f>
        <v/>
      </c>
      <c r="J12" s="11">
        <f>IF(AND(ISNUMBER(J9),ISNUMBER(J10)),J9-J10,"—")</f>
        <v/>
      </c>
      <c r="K12" s="11">
        <f>IF(AND(ISNUMBER(K9),ISNUMBER(K10)),K9-K10,"—")</f>
        <v/>
      </c>
      <c r="L12" s="11">
        <f>IF(AND(ISNUMBER(L9),ISNUMBER(L10)),L9-L10,"—")</f>
        <v/>
      </c>
      <c r="M12" s="13">
        <f>IF(AND(ISNUMBER(M9),ISNUMBER(M10)),M9-M10,"—")</f>
        <v/>
      </c>
      <c r="N12" s="11">
        <f>IF(AND(ISNUMBER(N9),ISNUMBER(N10)),N9-N10,"—")</f>
        <v/>
      </c>
      <c r="O12" s="11">
        <f>IF(AND(ISNUMBER(O9),ISNUMBER(O10)),O9-O10,"—")</f>
        <v/>
      </c>
      <c r="P12" s="11">
        <f>IF(AND(ISNUMBER(P9),ISNUMBER(P10)),P9-P10,"—")</f>
        <v/>
      </c>
      <c r="Q12" s="11">
        <f>IF(AND(ISNUMBER(Q9),ISNUMBER(Q10)),Q9-Q10,"—")</f>
        <v/>
      </c>
      <c r="R12" s="11">
        <f>IF(AND(ISNUMBER(R9),ISNUMBER(R10)),R9-R10,"—")</f>
        <v/>
      </c>
      <c r="S12" s="11">
        <f>IF(AND(ISNUMBER(S9),ISNUMBER(S10)),S9-S10,"—")</f>
        <v/>
      </c>
      <c r="T12" s="11">
        <f>IF(AND(ISNUMBER(T9),ISNUMBER(T10)),T9-T10,"—")</f>
        <v/>
      </c>
      <c r="U12" s="11">
        <f>IF(AND(ISNUMBER(U9),ISNUMBER(U10)),U9-U10,"—")</f>
        <v/>
      </c>
      <c r="V12" s="11">
        <f>IF(AND(ISNUMBER(V9),ISNUMBER(V10)),V9-V10,"—")</f>
        <v/>
      </c>
      <c r="W12" s="11">
        <f>IF(AND(ISNUMBER(W9),ISNUMBER(W10)),W9-W10,"—")</f>
        <v/>
      </c>
      <c r="X12" s="11">
        <f>IF(AND(ISNUMBER(X9),ISNUMBER(X10)),X9-X10,"—")</f>
        <v/>
      </c>
      <c r="Y12" s="11">
        <f>IF(AND(ISNUMBER(Y9),ISNUMBER(Y10)),Y9-Y10,"—")</f>
        <v/>
      </c>
      <c r="Z12" s="11">
        <f>IF(AND(ISNUMBER(Z9),ISNUMBER(Z10)),Z9-Z10,"—")</f>
        <v/>
      </c>
      <c r="AA12" s="11">
        <f>IF(AND(ISNUMBER(AA9),ISNUMBER(AA10)),AA9-AA10,"—")</f>
        <v/>
      </c>
      <c r="AB12" s="13">
        <f>IF(AND(ISNUMBER(AB9),ISNUMBER(AB10)),AB9-AB10,"—")</f>
        <v/>
      </c>
      <c r="AC12" s="11">
        <f>IF(AND(ISNUMBER(AC9),ISNUMBER(AC10)),AC9-AC10,"—")</f>
        <v/>
      </c>
      <c r="AD12" s="11">
        <f>IF(AND(ISNUMBER(AD9),ISNUMBER(AD10)),AD9-AD10,"—")</f>
        <v/>
      </c>
      <c r="AE12" s="11">
        <f>IF(AND(ISNUMBER(AE9),ISNUMBER(AE10)),AE9-AE10,"—")</f>
        <v/>
      </c>
    </row>
    <row r="13">
      <c r="A13" s="10" t="inlineStr">
        <is>
          <t>% Pos</t>
        </is>
      </c>
      <c r="B13" s="14">
        <f>IF(COUNTA(B2:B7),COUNTIF(B2:B7,"&gt;0")/COUNTA(B2:B7),"—")</f>
        <v/>
      </c>
      <c r="C13" s="14">
        <f>IF(COUNTA(C2:C7),COUNTIF(C2:C7,"&gt;0")/COUNTA(C2:C7),"—")</f>
        <v/>
      </c>
      <c r="D13" s="14">
        <f>IF(COUNTA(D2:D7),COUNTIF(D2:D7,"&gt;0")/COUNTA(D2:D7),"—")</f>
        <v/>
      </c>
      <c r="E13" s="14">
        <f>IF(COUNTA(E2:E7),COUNTIF(E2:E7,"&gt;0")/COUNTA(E2:E7),"—")</f>
        <v/>
      </c>
      <c r="F13" s="14">
        <f>IF(COUNTA(F2:F7),COUNTIF(F2:F7,"&gt;0")/COUNTA(F2:F7),"—")</f>
        <v/>
      </c>
      <c r="G13" s="14">
        <f>IF(COUNTA(G2:G7),COUNTIF(G2:G7,"&gt;0")/COUNTA(G2:G7),"—")</f>
        <v/>
      </c>
      <c r="H13" s="14">
        <f>IF(COUNTA(H2:H7),COUNTIF(H2:H7,"&gt;0")/COUNTA(H2:H7),"—")</f>
        <v/>
      </c>
      <c r="I13" s="14">
        <f>IF(COUNTA(I2:I7),COUNTIF(I2:I7,"&gt;0")/COUNTA(I2:I7),"—")</f>
        <v/>
      </c>
      <c r="J13" s="14">
        <f>IF(COUNTA(J2:J7),COUNTIF(J2:J7,"&gt;0")/COUNTA(J2:J7),"—")</f>
        <v/>
      </c>
      <c r="K13" s="14">
        <f>IF(COUNTA(K2:K7),COUNTIF(K2:K7,"&gt;0")/COUNTA(K2:K7),"—")</f>
        <v/>
      </c>
      <c r="L13" s="14">
        <f>IF(COUNTA(L2:L7),COUNTIF(L2:L7,"&gt;0")/COUNTA(L2:L7),"—")</f>
        <v/>
      </c>
      <c r="M13" s="14">
        <f>IF(COUNTA(M2:M7),COUNTIF(M2:M7,"&gt;0")/COUNTA(M2:M7),"—")</f>
        <v/>
      </c>
      <c r="N13" s="14">
        <f>IF(COUNTA(N2:N7),COUNTIF(N2:N7,"&gt;0")/COUNTA(N2:N7),"—")</f>
        <v/>
      </c>
      <c r="O13" s="14">
        <f>IF(COUNTA(O2:O7),COUNTIF(O2:O7,"&gt;0")/COUNTA(O2:O7),"—")</f>
        <v/>
      </c>
      <c r="P13" s="14">
        <f>IF(COUNTA(P2:P7),COUNTIF(P2:P7,"&gt;0")/COUNTA(P2:P7),"—")</f>
        <v/>
      </c>
      <c r="Q13" s="14">
        <f>IF(COUNTA(Q2:Q7),COUNTIF(Q2:Q7,"&gt;0")/COUNTA(Q2:Q7),"—")</f>
        <v/>
      </c>
      <c r="R13" s="14">
        <f>IF(COUNTA(R2:R7),COUNTIF(R2:R7,"&gt;0")/COUNTA(R2:R7),"—")</f>
        <v/>
      </c>
      <c r="S13" s="14">
        <f>IF(COUNTA(S2:S7),COUNTIF(S2:S7,"&gt;0")/COUNTA(S2:S7),"—")</f>
        <v/>
      </c>
      <c r="T13" s="14">
        <f>IF(COUNTA(T2:T7),COUNTIF(T2:T7,"&gt;0")/COUNTA(T2:T7),"—")</f>
        <v/>
      </c>
      <c r="U13" s="14">
        <f>IF(COUNTA(U2:U7),COUNTIF(U2:U7,"&gt;0")/COUNTA(U2:U7),"—")</f>
        <v/>
      </c>
      <c r="V13" s="14">
        <f>IF(COUNTA(V2:V7),COUNTIF(V2:V7,"&gt;0")/COUNTA(V2:V7),"—")</f>
        <v/>
      </c>
      <c r="W13" s="14">
        <f>IF(COUNTA(W2:W7),COUNTIF(W2:W7,"&gt;0")/COUNTA(W2:W7),"—")</f>
        <v/>
      </c>
      <c r="X13" s="14">
        <f>IF(COUNTA(X2:X7),COUNTIF(X2:X7,"&gt;0")/COUNTA(X2:X7),"—")</f>
        <v/>
      </c>
      <c r="Y13" s="14">
        <f>IF(COUNTA(Y2:Y7),COUNTIF(Y2:Y7,"&gt;0")/COUNTA(Y2:Y7),"—")</f>
        <v/>
      </c>
      <c r="Z13" s="14">
        <f>IF(COUNTA(Z2:Z7),COUNTIF(Z2:Z7,"&gt;0")/COUNTA(Z2:Z7),"—")</f>
        <v/>
      </c>
      <c r="AA13" s="14">
        <f>IF(COUNTA(AA2:AA7),COUNTIF(AA2:AA7,"&gt;0")/COUNTA(AA2:AA7),"—")</f>
        <v/>
      </c>
      <c r="AB13" s="14">
        <f>IF(COUNTA(AB2:AB7),COUNTIF(AB2:AB7,"&gt;0")/COUNTA(AB2:AB7),"—")</f>
        <v/>
      </c>
      <c r="AC13" s="14">
        <f>IF(COUNTA(AC2:AC7),COUNTIF(AC2:AC7,"&gt;0")/COUNTA(AC2:AC7),"—")</f>
        <v/>
      </c>
      <c r="AD13" s="14">
        <f>IF(COUNTA(AD2:AD7),COUNTIF(AD2:AD7,"&gt;0")/COUNTA(AD2:AD7),"—")</f>
        <v/>
      </c>
      <c r="AE13" s="14">
        <f>IF(COUNTA(AE2:AE7),COUNTIF(AE2:AE7,"&gt;0")/COUNTA(AE2:AE7),"—")</f>
        <v/>
      </c>
    </row>
    <row r="14">
      <c r="A14" s="10" t="inlineStr">
        <is>
          <t>% Neg</t>
        </is>
      </c>
      <c r="B14" s="14">
        <f>IF(COUNTA(B2:B7),COUNTIF(B2:B7,"&lt;0")/COUNTA(B2:B7),"—")</f>
        <v/>
      </c>
      <c r="C14" s="14">
        <f>IF(COUNTA(C2:C7),COUNTIF(C2:C7,"&lt;0")/COUNTA(C2:C7),"—")</f>
        <v/>
      </c>
      <c r="D14" s="14">
        <f>IF(COUNTA(D2:D7),COUNTIF(D2:D7,"&lt;0")/COUNTA(D2:D7),"—")</f>
        <v/>
      </c>
      <c r="E14" s="14">
        <f>IF(COUNTA(E2:E7),COUNTIF(E2:E7,"&lt;0")/COUNTA(E2:E7),"—")</f>
        <v/>
      </c>
      <c r="F14" s="14">
        <f>IF(COUNTA(F2:F7),COUNTIF(F2:F7,"&lt;0")/COUNTA(F2:F7),"—")</f>
        <v/>
      </c>
      <c r="G14" s="14">
        <f>IF(COUNTA(G2:G7),COUNTIF(G2:G7,"&lt;0")/COUNTA(G2:G7),"—")</f>
        <v/>
      </c>
      <c r="H14" s="14">
        <f>IF(COUNTA(H2:H7),COUNTIF(H2:H7,"&lt;0")/COUNTA(H2:H7),"—")</f>
        <v/>
      </c>
      <c r="I14" s="14">
        <f>IF(COUNTA(I2:I7),COUNTIF(I2:I7,"&lt;0")/COUNTA(I2:I7),"—")</f>
        <v/>
      </c>
      <c r="J14" s="14">
        <f>IF(COUNTA(J2:J7),COUNTIF(J2:J7,"&lt;0")/COUNTA(J2:J7),"—")</f>
        <v/>
      </c>
      <c r="K14" s="14">
        <f>IF(COUNTA(K2:K7),COUNTIF(K2:K7,"&lt;0")/COUNTA(K2:K7),"—")</f>
        <v/>
      </c>
      <c r="L14" s="14">
        <f>IF(COUNTA(L2:L7),COUNTIF(L2:L7,"&lt;0")/COUNTA(L2:L7),"—")</f>
        <v/>
      </c>
      <c r="M14" s="14">
        <f>IF(COUNTA(M2:M7),COUNTIF(M2:M7,"&lt;0")/COUNTA(M2:M7),"—")</f>
        <v/>
      </c>
      <c r="N14" s="14">
        <f>IF(COUNTA(N2:N7),COUNTIF(N2:N7,"&lt;0")/COUNTA(N2:N7),"—")</f>
        <v/>
      </c>
      <c r="O14" s="14">
        <f>IF(COUNTA(O2:O7),COUNTIF(O2:O7,"&lt;0")/COUNTA(O2:O7),"—")</f>
        <v/>
      </c>
      <c r="P14" s="14">
        <f>IF(COUNTA(P2:P7),COUNTIF(P2:P7,"&lt;0")/COUNTA(P2:P7),"—")</f>
        <v/>
      </c>
      <c r="Q14" s="14">
        <f>IF(COUNTA(Q2:Q7),COUNTIF(Q2:Q7,"&lt;0")/COUNTA(Q2:Q7),"—")</f>
        <v/>
      </c>
      <c r="R14" s="14">
        <f>IF(COUNTA(R2:R7),COUNTIF(R2:R7,"&lt;0")/COUNTA(R2:R7),"—")</f>
        <v/>
      </c>
      <c r="S14" s="14">
        <f>IF(COUNTA(S2:S7),COUNTIF(S2:S7,"&lt;0")/COUNTA(S2:S7),"—")</f>
        <v/>
      </c>
      <c r="T14" s="14">
        <f>IF(COUNTA(T2:T7),COUNTIF(T2:T7,"&lt;0")/COUNTA(T2:T7),"—")</f>
        <v/>
      </c>
      <c r="U14" s="14">
        <f>IF(COUNTA(U2:U7),COUNTIF(U2:U7,"&lt;0")/COUNTA(U2:U7),"—")</f>
        <v/>
      </c>
      <c r="V14" s="14">
        <f>IF(COUNTA(V2:V7),COUNTIF(V2:V7,"&lt;0")/COUNTA(V2:V7),"—")</f>
        <v/>
      </c>
      <c r="W14" s="14">
        <f>IF(COUNTA(W2:W7),COUNTIF(W2:W7,"&lt;0")/COUNTA(W2:W7),"—")</f>
        <v/>
      </c>
      <c r="X14" s="14">
        <f>IF(COUNTA(X2:X7),COUNTIF(X2:X7,"&lt;0")/COUNTA(X2:X7),"—")</f>
        <v/>
      </c>
      <c r="Y14" s="14">
        <f>IF(COUNTA(Y2:Y7),COUNTIF(Y2:Y7,"&lt;0")/COUNTA(Y2:Y7),"—")</f>
        <v/>
      </c>
      <c r="Z14" s="14">
        <f>IF(COUNTA(Z2:Z7),COUNTIF(Z2:Z7,"&lt;0")/COUNTA(Z2:Z7),"—")</f>
        <v/>
      </c>
      <c r="AA14" s="14">
        <f>IF(COUNTA(AA2:AA7),COUNTIF(AA2:AA7,"&lt;0")/COUNTA(AA2:AA7),"—")</f>
        <v/>
      </c>
      <c r="AB14" s="14">
        <f>IF(COUNTA(AB2:AB7),COUNTIF(AB2:AB7,"&lt;0")/COUNTA(AB2:AB7),"—")</f>
        <v/>
      </c>
      <c r="AC14" s="14">
        <f>IF(COUNTA(AC2:AC7),COUNTIF(AC2:AC7,"&lt;0")/COUNTA(AC2:AC7),"—")</f>
        <v/>
      </c>
      <c r="AD14" s="14">
        <f>IF(COUNTA(AD2:AD7),COUNTIF(AD2:AD7,"&lt;0")/COUNTA(AD2:AD7),"—")</f>
        <v/>
      </c>
      <c r="AE14" s="14">
        <f>IF(COUNTA(AE2:AE7),COUNTIF(AE2:AE7,"&lt;0")/COUNTA(AE2:AE7),"—")</f>
        <v/>
      </c>
    </row>
  </sheetData>
  <autoFilter ref="A1:AE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.3" customWidth="1" min="1" max="1"/>
  </cols>
  <sheetData>
    <row r="1" ht="70" customHeight="1">
      <c r="A1" s="1" t="inlineStr">
        <is>
          <t>Time</t>
        </is>
      </c>
      <c r="B1" s="1" t="inlineStr">
        <is>
          <t>Club Speed (Mph)</t>
        </is>
      </c>
      <c r="C1" s="1" t="inlineStr">
        <is>
          <t>Ball Speed (Mph)</t>
        </is>
      </c>
      <c r="D1" s="1" t="inlineStr">
        <is>
          <t>Smash Factor</t>
        </is>
      </c>
      <c r="E1" s="1" t="inlineStr">
        <is>
          <t>Carry (Yds)</t>
        </is>
      </c>
      <c r="F1" s="1" t="inlineStr">
        <is>
          <t>Total (Yds)</t>
        </is>
      </c>
      <c r="G1" s="1" t="inlineStr">
        <is>
          <t>Impact Height (mm)</t>
        </is>
      </c>
      <c r="H1" s="1" t="inlineStr">
        <is>
          <t>Impact Offset (mm)</t>
        </is>
      </c>
      <c r="I1" s="1" t="inlineStr">
        <is>
          <t>Club Path (Deg)</t>
        </is>
      </c>
      <c r="J1" s="1" t="inlineStr">
        <is>
          <t>Face Angle (Deg)</t>
        </is>
      </c>
      <c r="K1" s="1" t="inlineStr">
        <is>
          <t>Face To Path (Deg)</t>
        </is>
      </c>
      <c r="L1" s="1" t="inlineStr">
        <is>
          <t>Launch Direction (Deg)</t>
        </is>
      </c>
      <c r="M1" s="1" t="inlineStr">
        <is>
          <t>Attack Angle (Deg)</t>
        </is>
      </c>
      <c r="N1" s="1" t="inlineStr">
        <is>
          <t>Dynamic Loft (Deg)</t>
        </is>
      </c>
      <c r="O1" s="1" t="inlineStr">
        <is>
          <t>Launch Angle (Deg)</t>
        </is>
      </c>
      <c r="P1" s="1" t="inlineStr">
        <is>
          <t>Spin Loft (Deg)</t>
        </is>
      </c>
      <c r="Q1" s="1" t="inlineStr">
        <is>
          <t>Spin Rate (Rpm)</t>
        </is>
      </c>
      <c r="R1" s="1" t="inlineStr">
        <is>
          <t>Spin Axis (Deg)</t>
        </is>
      </c>
      <c r="S1" s="1" t="inlineStr">
        <is>
          <t>Curve (Ft)</t>
        </is>
      </c>
      <c r="T1" s="1" t="inlineStr">
        <is>
          <t>Carry Side (Ft)</t>
        </is>
      </c>
      <c r="U1" s="1" t="inlineStr">
        <is>
          <t>Total Side (Ft)</t>
        </is>
      </c>
      <c r="V1" s="1" t="inlineStr">
        <is>
          <t>Max Height (Ft)</t>
        </is>
      </c>
      <c r="W1" s="1" t="inlineStr">
        <is>
          <t>Landing Angle (Deg)</t>
        </is>
      </c>
      <c r="X1" s="1" t="inlineStr">
        <is>
          <t>Swing Direction (Deg)</t>
        </is>
      </c>
      <c r="Y1" s="1" t="inlineStr">
        <is>
          <t>Swing Plane (Deg)</t>
        </is>
      </c>
      <c r="Z1" s="1" t="inlineStr">
        <is>
          <t>Swing Radius</t>
        </is>
      </c>
      <c r="AA1" s="1" t="inlineStr">
        <is>
          <t>DPlane Tilt</t>
        </is>
      </c>
      <c r="AB1" s="1" t="inlineStr">
        <is>
          <t>Low Point (In)</t>
        </is>
      </c>
      <c r="AC1" s="1" t="inlineStr">
        <is>
          <t>Landing Height</t>
        </is>
      </c>
      <c r="AD1" s="1" t="inlineStr">
        <is>
          <t>Hang Time (Sec)</t>
        </is>
      </c>
      <c r="AE1" s="1" t="inlineStr">
        <is>
          <t>Dynamic Lie (Deg)</t>
        </is>
      </c>
    </row>
    <row r="2">
      <c r="A2" s="2" t="n">
        <v>46100.5490625</v>
      </c>
      <c r="B2" s="3" t="n">
        <v>84.52</v>
      </c>
      <c r="C2" s="3" t="n">
        <v>112.04</v>
      </c>
      <c r="D2" s="4" t="n">
        <v>1.33</v>
      </c>
      <c r="E2" s="3" t="n">
        <v>169.7</v>
      </c>
      <c r="F2" s="3" t="n">
        <v>192.53</v>
      </c>
      <c r="G2" s="3" t="n">
        <v>3.57</v>
      </c>
      <c r="H2" s="3" t="n">
        <v>-4.59</v>
      </c>
      <c r="I2" s="3" t="n">
        <v>3.1</v>
      </c>
      <c r="J2" s="3" t="n">
        <v>1.5</v>
      </c>
      <c r="K2" s="3" t="n">
        <v>-1.6</v>
      </c>
      <c r="L2" s="3" t="n">
        <v>1.71</v>
      </c>
      <c r="M2" s="5" t="n">
        <v>-1.3</v>
      </c>
      <c r="N2" s="3" t="n">
        <v>19.6</v>
      </c>
      <c r="O2" s="3" t="n">
        <v>17.04</v>
      </c>
      <c r="P2" s="3" t="n">
        <v>20.96</v>
      </c>
      <c r="Q2" s="3" t="n">
        <v>2846.61</v>
      </c>
      <c r="R2" s="3" t="n">
        <v>-3.29</v>
      </c>
      <c r="S2" s="3" t="n">
        <v>-10.35</v>
      </c>
      <c r="T2" s="3" t="n">
        <v>4.87</v>
      </c>
      <c r="U2" s="3" t="n">
        <v>3.9</v>
      </c>
      <c r="V2" s="3" t="n">
        <v>66.79000000000001</v>
      </c>
      <c r="W2" s="3" t="n">
        <v>35.83</v>
      </c>
      <c r="X2" s="3" t="n">
        <v>2.5</v>
      </c>
      <c r="Y2" s="3" t="n">
        <v>63.91</v>
      </c>
      <c r="Z2" s="3" t="n">
        <v>1.41</v>
      </c>
      <c r="AA2" s="3" t="n">
        <v>-4.31</v>
      </c>
      <c r="AB2" s="5" t="n">
        <v>1.42</v>
      </c>
      <c r="AC2" s="3" t="n">
        <v/>
      </c>
      <c r="AD2" s="3" t="n">
        <v>5.26</v>
      </c>
      <c r="AE2" s="3" t="n">
        <v>59.3</v>
      </c>
    </row>
    <row r="3">
      <c r="A3" s="6" t="n">
        <v>46100.54935185185</v>
      </c>
      <c r="B3" s="7" t="n">
        <v>84.68000000000001</v>
      </c>
      <c r="C3" s="7" t="n">
        <v>105.34</v>
      </c>
      <c r="D3" s="8" t="n">
        <v>1.24</v>
      </c>
      <c r="E3" s="7" t="n">
        <v>151.17</v>
      </c>
      <c r="F3" s="7" t="n">
        <v>178.31</v>
      </c>
      <c r="G3" s="7" t="n">
        <v/>
      </c>
      <c r="H3" s="7" t="n">
        <v/>
      </c>
      <c r="I3" s="7" t="n">
        <v>4.3</v>
      </c>
      <c r="J3" s="7" t="n">
        <v>-0.23</v>
      </c>
      <c r="K3" s="7" t="n">
        <v>-4.54</v>
      </c>
      <c r="L3" s="7" t="n">
        <v>0.46</v>
      </c>
      <c r="M3" s="9" t="n">
        <v>0.1</v>
      </c>
      <c r="N3" s="7" t="n">
        <v>19.02</v>
      </c>
      <c r="O3" s="7" t="n">
        <v>16.26</v>
      </c>
      <c r="P3" s="7" t="n">
        <v>19.37</v>
      </c>
      <c r="Q3" s="7" t="n">
        <v>2967.73</v>
      </c>
      <c r="R3" s="7" t="n">
        <v>-10.81</v>
      </c>
      <c r="S3" s="7" t="n">
        <v>-28.02</v>
      </c>
      <c r="T3" s="7" t="n">
        <v>-24.37</v>
      </c>
      <c r="U3" s="7" t="n">
        <v>-34.62</v>
      </c>
      <c r="V3" s="7" t="n">
        <v>53.85</v>
      </c>
      <c r="W3" s="7" t="n">
        <v>32.63</v>
      </c>
      <c r="X3" s="7" t="n">
        <v>4.31</v>
      </c>
      <c r="Y3" s="7" t="n">
        <v>66.95999999999999</v>
      </c>
      <c r="Z3" s="7" t="n">
        <v>1.49</v>
      </c>
      <c r="AA3" s="7" t="n">
        <v>-12.86</v>
      </c>
      <c r="AB3" s="9" t="n">
        <v>-0.16</v>
      </c>
      <c r="AC3" s="7" t="n">
        <v/>
      </c>
      <c r="AD3" s="7" t="n">
        <v>4.74</v>
      </c>
      <c r="AE3" s="7" t="n">
        <v/>
      </c>
    </row>
    <row r="4">
      <c r="A4" s="2" t="n">
        <v>46100.55116898148</v>
      </c>
      <c r="B4" s="3" t="n">
        <v>86.17</v>
      </c>
      <c r="C4" s="3" t="n">
        <v>115.23</v>
      </c>
      <c r="D4" s="4" t="n">
        <v>1.34</v>
      </c>
      <c r="E4" s="3" t="n">
        <v>171.49</v>
      </c>
      <c r="F4" s="3" t="n">
        <v>198.1</v>
      </c>
      <c r="G4" s="3" t="n">
        <v>2.95</v>
      </c>
      <c r="H4" s="3" t="n">
        <v>-6.03</v>
      </c>
      <c r="I4" s="3" t="n">
        <v>3.7</v>
      </c>
      <c r="J4" s="3" t="n">
        <v>-1.93</v>
      </c>
      <c r="K4" s="3" t="n">
        <v>-5.63</v>
      </c>
      <c r="L4" s="3" t="n">
        <v>-1.11</v>
      </c>
      <c r="M4" s="5" t="n">
        <v>-0.3</v>
      </c>
      <c r="N4" s="3" t="n">
        <v>17.57</v>
      </c>
      <c r="O4" s="3" t="n">
        <v>15.1</v>
      </c>
      <c r="P4" s="3" t="n">
        <v>18.91</v>
      </c>
      <c r="Q4" s="3" t="n">
        <v>2963.8</v>
      </c>
      <c r="R4" s="3" t="n">
        <v>-14.02</v>
      </c>
      <c r="S4" s="3" t="n">
        <v>-44.79</v>
      </c>
      <c r="T4" s="3" t="n">
        <v>-54.72</v>
      </c>
      <c r="U4" s="3" t="n">
        <v>-71.38</v>
      </c>
      <c r="V4" s="3" t="n">
        <v>60.46</v>
      </c>
      <c r="W4" s="3" t="n">
        <v>33.33</v>
      </c>
      <c r="X4" s="3" t="n">
        <v>3.51</v>
      </c>
      <c r="Y4" s="3" t="n">
        <v>63.84</v>
      </c>
      <c r="Z4" s="3" t="n">
        <v>1.39</v>
      </c>
      <c r="AA4" s="3" t="n">
        <v>-16.95</v>
      </c>
      <c r="AB4" s="5" t="n">
        <v>0.51</v>
      </c>
      <c r="AC4" s="3" t="n">
        <v/>
      </c>
      <c r="AD4" s="3" t="n">
        <v>5.11</v>
      </c>
      <c r="AE4" s="3" t="n">
        <v>59.85</v>
      </c>
    </row>
    <row r="5">
      <c r="A5" s="6" t="n">
        <v>46100.5514699074</v>
      </c>
      <c r="B5" s="7" t="n">
        <v>85.26000000000001</v>
      </c>
      <c r="C5" s="7" t="n">
        <v>120.35</v>
      </c>
      <c r="D5" s="8" t="n">
        <v>1.41</v>
      </c>
      <c r="E5" s="7" t="n">
        <v>178.04</v>
      </c>
      <c r="F5" s="7" t="n">
        <v>190.66</v>
      </c>
      <c r="G5" s="7" t="n">
        <v/>
      </c>
      <c r="H5" s="7" t="n">
        <v/>
      </c>
      <c r="I5" s="7" t="n">
        <v>-0.3</v>
      </c>
      <c r="J5" s="7" t="n">
        <v>-5.94</v>
      </c>
      <c r="K5" s="7" t="n">
        <v>-5.64</v>
      </c>
      <c r="L5" s="7" t="n">
        <v>-5</v>
      </c>
      <c r="M5" s="9" t="n">
        <v>-2.5</v>
      </c>
      <c r="N5" s="7" t="n">
        <v>18.93</v>
      </c>
      <c r="O5" s="7" t="n">
        <v>15.48</v>
      </c>
      <c r="P5" s="7" t="n">
        <v>22.19</v>
      </c>
      <c r="Q5" s="7" t="n">
        <v>4249</v>
      </c>
      <c r="R5" s="7" t="n">
        <v>-11.41</v>
      </c>
      <c r="S5" s="7" t="n">
        <v>-49.11</v>
      </c>
      <c r="T5" s="7" t="n">
        <v>-95.27</v>
      </c>
      <c r="U5" s="7" t="n">
        <v>-106.97</v>
      </c>
      <c r="V5" s="7" t="n">
        <v>79.93000000000001</v>
      </c>
      <c r="W5" s="7" t="n">
        <v>41.21</v>
      </c>
      <c r="X5" s="7" t="n">
        <v>-2.06</v>
      </c>
      <c r="Y5" s="7" t="n">
        <v>57.6</v>
      </c>
      <c r="Z5" s="7" t="n">
        <v>1.42</v>
      </c>
      <c r="AA5" s="7" t="n">
        <v>-13.93</v>
      </c>
      <c r="AB5" s="9" t="n">
        <v>2.99</v>
      </c>
      <c r="AC5" s="7" t="n">
        <v/>
      </c>
      <c r="AD5" s="7" t="n">
        <v>5.82</v>
      </c>
      <c r="AE5" s="7" t="n">
        <v/>
      </c>
    </row>
    <row r="6">
      <c r="A6" s="2" t="n">
        <v>46100.5496412037</v>
      </c>
      <c r="B6" s="3" t="n">
        <v>85.31999999999999</v>
      </c>
      <c r="C6" s="3" t="n">
        <v>107.4</v>
      </c>
      <c r="D6" s="4" t="n">
        <v>1.26</v>
      </c>
      <c r="E6" s="3" t="n">
        <v>157.44</v>
      </c>
      <c r="F6" s="3" t="n">
        <v>184.91</v>
      </c>
      <c r="G6" s="3" t="n">
        <v/>
      </c>
      <c r="H6" s="3" t="n">
        <v/>
      </c>
      <c r="I6" s="3" t="n">
        <v>3.7</v>
      </c>
      <c r="J6" s="3" t="n">
        <v>2.06</v>
      </c>
      <c r="K6" s="3" t="n">
        <v>-1.64</v>
      </c>
      <c r="L6" s="3" t="n">
        <v>2.29</v>
      </c>
      <c r="M6" s="5" t="n">
        <v>-0.9</v>
      </c>
      <c r="N6" s="3" t="n">
        <v>18.95</v>
      </c>
      <c r="O6" s="3" t="n">
        <v>16.37</v>
      </c>
      <c r="P6" s="3" t="n">
        <v>19.97</v>
      </c>
      <c r="Q6" s="3" t="n">
        <v>2761</v>
      </c>
      <c r="R6" s="3" t="n">
        <v>-4.28</v>
      </c>
      <c r="S6" s="3" t="n">
        <v>-11.42</v>
      </c>
      <c r="T6" s="3" t="n">
        <v>7.48</v>
      </c>
      <c r="U6" s="3" t="n">
        <v>6.48</v>
      </c>
      <c r="V6" s="3" t="n">
        <v>56.21</v>
      </c>
      <c r="W6" s="3" t="n">
        <v>32.77</v>
      </c>
      <c r="X6" s="3" t="n">
        <v>3.31</v>
      </c>
      <c r="Y6" s="3" t="n">
        <v>66.73</v>
      </c>
      <c r="Z6" s="3" t="n">
        <v>1.46</v>
      </c>
      <c r="AA6" s="3" t="n">
        <v>-4.59</v>
      </c>
      <c r="AB6" s="5" t="n">
        <v>1.02</v>
      </c>
      <c r="AC6" s="3" t="n">
        <v/>
      </c>
      <c r="AD6" s="3" t="n">
        <v>4.85</v>
      </c>
      <c r="AE6" s="3" t="n">
        <v/>
      </c>
    </row>
    <row r="7">
      <c r="A7" s="6" t="n">
        <v>46100.54993055556</v>
      </c>
      <c r="B7" s="7" t="n">
        <v>85.56</v>
      </c>
      <c r="C7" s="7" t="n">
        <v>117.69</v>
      </c>
      <c r="D7" s="8" t="n">
        <v>1.38</v>
      </c>
      <c r="E7" s="7" t="n">
        <v>172.35</v>
      </c>
      <c r="F7" s="7" t="n">
        <v>186.5</v>
      </c>
      <c r="G7" s="7" t="n">
        <v>-4.34</v>
      </c>
      <c r="H7" s="7" t="n">
        <v>-23.67</v>
      </c>
      <c r="I7" s="7" t="n">
        <v>1.3</v>
      </c>
      <c r="J7" s="7" t="n">
        <v>-4.75</v>
      </c>
      <c r="K7" s="7" t="n">
        <v>-6.05</v>
      </c>
      <c r="L7" s="7" t="n">
        <v>-3.68</v>
      </c>
      <c r="M7" s="9" t="n">
        <v>-2.9</v>
      </c>
      <c r="N7" s="7" t="n">
        <v>18.4</v>
      </c>
      <c r="O7" s="7" t="n">
        <v>14.87</v>
      </c>
      <c r="P7" s="7" t="n">
        <v>22.18</v>
      </c>
      <c r="Q7" s="7" t="n">
        <v>4291.49</v>
      </c>
      <c r="R7" s="7" t="n">
        <v>-8.19</v>
      </c>
      <c r="S7" s="7" t="n">
        <v>-33.16</v>
      </c>
      <c r="T7" s="7" t="n">
        <v>-66.23999999999999</v>
      </c>
      <c r="U7" s="7" t="n">
        <v>-75.48999999999999</v>
      </c>
      <c r="V7" s="7" t="n">
        <v>73.20999999999999</v>
      </c>
      <c r="W7" s="7" t="n">
        <v>39.71</v>
      </c>
      <c r="X7" s="7" t="n">
        <v>-0.31</v>
      </c>
      <c r="Y7" s="7" t="n">
        <v>60.75</v>
      </c>
      <c r="Z7" s="7" t="n">
        <v>1.38</v>
      </c>
      <c r="AA7" s="7" t="n">
        <v>-15.46</v>
      </c>
      <c r="AB7" s="9" t="n">
        <v>3.19</v>
      </c>
      <c r="AC7" s="7" t="n">
        <v/>
      </c>
      <c r="AD7" s="7" t="n">
        <v>5.62</v>
      </c>
      <c r="AE7" s="7" t="n">
        <v>56.3</v>
      </c>
    </row>
    <row r="8">
      <c r="A8" s="2" t="n">
        <v>46100.55246527777</v>
      </c>
      <c r="B8" s="3" t="n">
        <v>84.63</v>
      </c>
      <c r="C8" s="3" t="n">
        <v>114.23</v>
      </c>
      <c r="D8" s="4" t="n">
        <v>1.35</v>
      </c>
      <c r="E8" s="3" t="n">
        <v>171.23</v>
      </c>
      <c r="F8" s="3" t="n">
        <v>196.18</v>
      </c>
      <c r="G8" s="3" t="n">
        <v/>
      </c>
      <c r="H8" s="3" t="n">
        <v/>
      </c>
      <c r="I8" s="3" t="n">
        <v>3.1</v>
      </c>
      <c r="J8" s="3" t="n">
        <v>0.71</v>
      </c>
      <c r="K8" s="3" t="n">
        <v>-2.39</v>
      </c>
      <c r="L8" s="3" t="n">
        <v>1.07</v>
      </c>
      <c r="M8" s="5" t="n">
        <v>-0.5</v>
      </c>
      <c r="N8" s="3" t="n">
        <v>18.02</v>
      </c>
      <c r="O8" s="3" t="n">
        <v>15.41</v>
      </c>
      <c r="P8" s="3" t="n">
        <v>18.81</v>
      </c>
      <c r="Q8" s="3" t="n">
        <v>2981</v>
      </c>
      <c r="R8" s="3" t="n">
        <v>-6.6</v>
      </c>
      <c r="S8" s="3" t="n">
        <v>-21.38</v>
      </c>
      <c r="T8" s="3" t="n">
        <v>-11.78</v>
      </c>
      <c r="U8" s="3" t="n">
        <v>-17.15</v>
      </c>
      <c r="V8" s="3" t="n">
        <v>62.42</v>
      </c>
      <c r="W8" s="3" t="n">
        <v>34.29</v>
      </c>
      <c r="X8" s="3" t="n">
        <v>2.87</v>
      </c>
      <c r="Y8" s="3" t="n">
        <v>64.06999999999999</v>
      </c>
      <c r="Z8" s="3" t="n">
        <v>1.44</v>
      </c>
      <c r="AA8" s="3" t="n">
        <v>-7.31</v>
      </c>
      <c r="AB8" s="5" t="n">
        <v>0.71</v>
      </c>
      <c r="AC8" s="3" t="n">
        <v/>
      </c>
      <c r="AD8" s="3" t="n">
        <v>5.18</v>
      </c>
      <c r="AE8" s="3" t="n">
        <v/>
      </c>
    </row>
    <row r="9">
      <c r="A9" s="6" t="n">
        <v>46100.55946759259</v>
      </c>
      <c r="B9" s="7" t="n">
        <v>84.34</v>
      </c>
      <c r="C9" s="7" t="n">
        <v>116.79</v>
      </c>
      <c r="D9" s="8" t="n">
        <v>1.38</v>
      </c>
      <c r="E9" s="7" t="n">
        <v>177.89</v>
      </c>
      <c r="F9" s="7" t="n">
        <v>190.73</v>
      </c>
      <c r="G9" s="7" t="n">
        <v/>
      </c>
      <c r="H9" s="7" t="n">
        <v/>
      </c>
      <c r="I9" s="7" t="n">
        <v>4.7</v>
      </c>
      <c r="J9" s="7" t="n">
        <v>2.84</v>
      </c>
      <c r="K9" s="7" t="n">
        <v>-1.86</v>
      </c>
      <c r="L9" s="7" t="n">
        <v>3.13</v>
      </c>
      <c r="M9" s="9" t="n">
        <v>-0.7</v>
      </c>
      <c r="N9" s="7" t="n">
        <v>21.07</v>
      </c>
      <c r="O9" s="7" t="n">
        <v>18.04</v>
      </c>
      <c r="P9" s="7" t="n">
        <v>22.04</v>
      </c>
      <c r="Q9" s="7" t="n">
        <v>3523.69</v>
      </c>
      <c r="R9" s="7" t="n">
        <v>-4.58</v>
      </c>
      <c r="S9" s="7" t="n">
        <v>-18.24</v>
      </c>
      <c r="T9" s="7" t="n">
        <v>10.87</v>
      </c>
      <c r="U9" s="7" t="n">
        <v>9.890000000000001</v>
      </c>
      <c r="V9" s="7" t="n">
        <v>85.13</v>
      </c>
      <c r="W9" s="7" t="n">
        <v>41.98</v>
      </c>
      <c r="X9" s="7" t="n">
        <v>4.3</v>
      </c>
      <c r="Y9" s="7" t="n">
        <v>61.16</v>
      </c>
      <c r="Z9" s="7" t="n">
        <v>1.41</v>
      </c>
      <c r="AA9" s="7" t="n">
        <v>-4.86</v>
      </c>
      <c r="AB9" s="9" t="n">
        <v>0.98</v>
      </c>
      <c r="AC9" s="7" t="n">
        <v/>
      </c>
      <c r="AD9" s="7" t="n">
        <v>5.87</v>
      </c>
      <c r="AE9" s="7" t="n">
        <v/>
      </c>
    </row>
    <row r="10">
      <c r="A10" s="2" t="n">
        <v>46100.55030092593</v>
      </c>
      <c r="B10" s="3" t="n">
        <v>85.81</v>
      </c>
      <c r="C10" s="3" t="n">
        <v>110.79</v>
      </c>
      <c r="D10" s="4" t="n">
        <v>1.29</v>
      </c>
      <c r="E10" s="3" t="n">
        <v>166.14</v>
      </c>
      <c r="F10" s="3" t="n">
        <v>190.41</v>
      </c>
      <c r="G10" s="3" t="n">
        <v/>
      </c>
      <c r="H10" s="3" t="n">
        <v/>
      </c>
      <c r="I10" s="3" t="n">
        <v>2.7</v>
      </c>
      <c r="J10" s="3" t="n">
        <v>2.93</v>
      </c>
      <c r="K10" s="3" t="n">
        <v>0.23</v>
      </c>
      <c r="L10" s="3" t="n">
        <v>2.9</v>
      </c>
      <c r="M10" s="5" t="n">
        <v>-0.3</v>
      </c>
      <c r="N10" s="3" t="n">
        <v>19.24</v>
      </c>
      <c r="O10" s="3" t="n">
        <v>16.65</v>
      </c>
      <c r="P10" s="3" t="n">
        <v>19.62</v>
      </c>
      <c r="Q10" s="3" t="n">
        <v>2849</v>
      </c>
      <c r="R10" s="3" t="n">
        <v>0.1</v>
      </c>
      <c r="S10" s="3" t="n">
        <v>0.31</v>
      </c>
      <c r="T10" s="3" t="n">
        <v>25.52</v>
      </c>
      <c r="U10" s="3" t="n">
        <v>29.3</v>
      </c>
      <c r="V10" s="3" t="n">
        <v>63.13</v>
      </c>
      <c r="W10" s="3" t="n">
        <v>34.83</v>
      </c>
      <c r="X10" s="3" t="n">
        <v>2.5</v>
      </c>
      <c r="Y10" s="3" t="n">
        <v>63.25</v>
      </c>
      <c r="Z10" s="3" t="n">
        <v>1.42</v>
      </c>
      <c r="AA10" s="3" t="n">
        <v>0.7</v>
      </c>
      <c r="AB10" s="5" t="n">
        <v>0.39</v>
      </c>
      <c r="AC10" s="3" t="n">
        <v/>
      </c>
      <c r="AD10" s="3" t="n">
        <v>5.13</v>
      </c>
      <c r="AE10" s="3" t="n">
        <v/>
      </c>
    </row>
    <row r="11">
      <c r="A11" s="6" t="n">
        <v>46100.55059027778</v>
      </c>
      <c r="B11" s="7" t="n">
        <v>84.59</v>
      </c>
      <c r="C11" s="7" t="n">
        <v>114.25</v>
      </c>
      <c r="D11" s="8" t="n">
        <v>1.35</v>
      </c>
      <c r="E11" s="7" t="n">
        <v>170.38</v>
      </c>
      <c r="F11" s="7" t="n">
        <v>193.93</v>
      </c>
      <c r="G11" s="7" t="n">
        <v/>
      </c>
      <c r="H11" s="7" t="n">
        <v/>
      </c>
      <c r="I11" s="7" t="n">
        <v>5.5</v>
      </c>
      <c r="J11" s="7" t="n">
        <v>1.73</v>
      </c>
      <c r="K11" s="7" t="n">
        <v>-3.77</v>
      </c>
      <c r="L11" s="7" t="n">
        <v>2.23</v>
      </c>
      <c r="M11" s="9" t="n">
        <v>-3.7</v>
      </c>
      <c r="N11" s="7" t="n">
        <v>18.07</v>
      </c>
      <c r="O11" s="7" t="n">
        <v>15.33</v>
      </c>
      <c r="P11" s="7" t="n">
        <v>22.11</v>
      </c>
      <c r="Q11" s="7" t="n">
        <v>3153.78</v>
      </c>
      <c r="R11" s="7" t="n">
        <v>-8.42</v>
      </c>
      <c r="S11" s="7" t="n">
        <v>-28.01</v>
      </c>
      <c r="T11" s="7" t="n">
        <v>-8.16</v>
      </c>
      <c r="U11" s="7" t="n">
        <v>-13.91</v>
      </c>
      <c r="V11" s="7" t="n">
        <v>63.28</v>
      </c>
      <c r="W11" s="7" t="n">
        <v>34.93</v>
      </c>
      <c r="X11" s="7" t="n">
        <v>3.41</v>
      </c>
      <c r="Y11" s="7" t="n">
        <v>61.07</v>
      </c>
      <c r="Z11" s="7" t="n">
        <v>1.45</v>
      </c>
      <c r="AA11" s="7" t="n">
        <v>-9.470000000000001</v>
      </c>
      <c r="AB11" s="9" t="n">
        <v>4.21</v>
      </c>
      <c r="AC11" s="7" t="n">
        <v/>
      </c>
      <c r="AD11" s="7" t="n">
        <v>5.22</v>
      </c>
      <c r="AE11" s="7" t="n">
        <v/>
      </c>
    </row>
    <row r="12">
      <c r="A12" s="2" t="n">
        <v>46100.55196759259</v>
      </c>
      <c r="B12" s="3" t="n">
        <v>85.59</v>
      </c>
      <c r="C12" s="3" t="n">
        <v>110.53</v>
      </c>
      <c r="D12" s="4" t="n">
        <v>1.29</v>
      </c>
      <c r="E12" s="3" t="n">
        <v>163.89</v>
      </c>
      <c r="F12" s="3" t="n">
        <v>182.95</v>
      </c>
      <c r="G12" s="3" t="n">
        <v/>
      </c>
      <c r="H12" s="3" t="n">
        <v/>
      </c>
      <c r="I12" s="3" t="n">
        <v>2.9</v>
      </c>
      <c r="J12" s="3" t="n">
        <v>1.61</v>
      </c>
      <c r="K12" s="3" t="n">
        <v>-1.29</v>
      </c>
      <c r="L12" s="3" t="n">
        <v>1.81</v>
      </c>
      <c r="M12" s="5" t="n">
        <v>0.1</v>
      </c>
      <c r="N12" s="3" t="n">
        <v>19.91</v>
      </c>
      <c r="O12" s="3" t="n">
        <v>16.84</v>
      </c>
      <c r="P12" s="3" t="n">
        <v>19.91</v>
      </c>
      <c r="Q12" s="3" t="n">
        <v>3381</v>
      </c>
      <c r="R12" s="3" t="n">
        <v>-3.08</v>
      </c>
      <c r="S12" s="3" t="n">
        <v>-10.17</v>
      </c>
      <c r="T12" s="3" t="n">
        <v>5.32</v>
      </c>
      <c r="U12" s="3" t="n">
        <v>4.49</v>
      </c>
      <c r="V12" s="3" t="n">
        <v>67.73</v>
      </c>
      <c r="W12" s="3" t="n">
        <v>37.5</v>
      </c>
      <c r="X12" s="3" t="n">
        <v>2.83</v>
      </c>
      <c r="Y12" s="3" t="n">
        <v>65.23</v>
      </c>
      <c r="Z12" s="3" t="n">
        <v>1.49</v>
      </c>
      <c r="AA12" s="3" t="n">
        <v>-3.32</v>
      </c>
      <c r="AB12" s="5" t="n">
        <v>-0.04</v>
      </c>
      <c r="AC12" s="3" t="n">
        <v/>
      </c>
      <c r="AD12" s="3" t="n">
        <v>5.3</v>
      </c>
      <c r="AE12" s="3" t="n">
        <v/>
      </c>
    </row>
    <row r="13">
      <c r="A13" s="6" t="n">
        <v>46100.55664351852</v>
      </c>
      <c r="B13" s="7" t="n">
        <v>85.52</v>
      </c>
      <c r="C13" s="7" t="n">
        <v>116.16</v>
      </c>
      <c r="D13" s="8" t="n">
        <v>1.36</v>
      </c>
      <c r="E13" s="7" t="n">
        <v>175.56</v>
      </c>
      <c r="F13" s="7" t="n">
        <v>193.6</v>
      </c>
      <c r="G13" s="7" t="n">
        <v/>
      </c>
      <c r="H13" s="7" t="n">
        <v/>
      </c>
      <c r="I13" s="7" t="n">
        <v>1.1</v>
      </c>
      <c r="J13" s="7" t="n">
        <v>0.21</v>
      </c>
      <c r="K13" s="7" t="n">
        <v>-0.89</v>
      </c>
      <c r="L13" s="7" t="n">
        <v>0.35</v>
      </c>
      <c r="M13" s="9" t="n">
        <v>-1.1</v>
      </c>
      <c r="N13" s="7" t="n">
        <v>19.01</v>
      </c>
      <c r="O13" s="7" t="n">
        <v>16.08</v>
      </c>
      <c r="P13" s="7" t="n">
        <v>20.18</v>
      </c>
      <c r="Q13" s="7" t="n">
        <v>3385.2</v>
      </c>
      <c r="R13" s="7" t="n">
        <v>-1.93</v>
      </c>
      <c r="S13" s="7" t="n">
        <v>-7.18</v>
      </c>
      <c r="T13" s="7" t="n">
        <v>-3.92</v>
      </c>
      <c r="U13" s="7" t="n">
        <v>-5.24</v>
      </c>
      <c r="V13" s="7" t="n">
        <v>72.73</v>
      </c>
      <c r="W13" s="7" t="n">
        <v>38.21</v>
      </c>
      <c r="X13" s="7" t="n">
        <v>0.5</v>
      </c>
      <c r="Y13" s="7" t="n">
        <v>61.52</v>
      </c>
      <c r="Z13" s="7" t="n">
        <v>1.46</v>
      </c>
      <c r="AA13" s="7" t="n">
        <v>-2.51</v>
      </c>
      <c r="AB13" s="9" t="n">
        <v>1.3</v>
      </c>
      <c r="AC13" s="7" t="n">
        <v/>
      </c>
      <c r="AD13" s="7" t="n">
        <v>5.55</v>
      </c>
      <c r="AE13" s="7" t="n">
        <v/>
      </c>
    </row>
    <row r="14">
      <c r="A14" s="2" t="n">
        <v>46100.55172453704</v>
      </c>
      <c r="B14" s="3" t="n">
        <v>85.48</v>
      </c>
      <c r="C14" s="3" t="n">
        <v>114.5</v>
      </c>
      <c r="D14" s="4" t="n">
        <v>1.34</v>
      </c>
      <c r="E14" s="3" t="n">
        <v>166.75</v>
      </c>
      <c r="F14" s="3" t="n">
        <v>192.99</v>
      </c>
      <c r="G14" s="3" t="n">
        <v/>
      </c>
      <c r="H14" s="3" t="n">
        <v/>
      </c>
      <c r="I14" s="3" t="n">
        <v>4.7</v>
      </c>
      <c r="J14" s="3" t="n">
        <v>-4.01</v>
      </c>
      <c r="K14" s="3" t="n">
        <v>-8.710000000000001</v>
      </c>
      <c r="L14" s="3" t="n">
        <v>-2.7</v>
      </c>
      <c r="M14" s="5" t="n">
        <v>0.1</v>
      </c>
      <c r="N14" s="3" t="n">
        <v>17.76</v>
      </c>
      <c r="O14" s="3" t="n">
        <v>15.24</v>
      </c>
      <c r="P14" s="3" t="n">
        <v>19.66</v>
      </c>
      <c r="Q14" s="3" t="n">
        <v>3194.62</v>
      </c>
      <c r="R14" s="3" t="n">
        <v>-21.75</v>
      </c>
      <c r="S14" s="3" t="n">
        <v>-68.58</v>
      </c>
      <c r="T14" s="3" t="n">
        <v>-91.84</v>
      </c>
      <c r="U14" s="3" t="n">
        <v>-119.12</v>
      </c>
      <c r="V14" s="3" t="n">
        <v>59.45</v>
      </c>
      <c r="W14" s="3" t="n">
        <v>33.4</v>
      </c>
      <c r="X14" s="3" t="n">
        <v>4.7</v>
      </c>
      <c r="Y14" s="3" t="n">
        <v>65.79000000000001</v>
      </c>
      <c r="Z14" s="3" t="n">
        <v>1.41</v>
      </c>
      <c r="AA14" s="3" t="n">
        <v>-25.28</v>
      </c>
      <c r="AB14" s="5" t="n">
        <v>-0.04</v>
      </c>
      <c r="AC14" s="3" t="n">
        <v/>
      </c>
      <c r="AD14" s="3" t="n">
        <v>5.03</v>
      </c>
      <c r="AE14" s="3" t="n">
        <v/>
      </c>
    </row>
    <row r="15">
      <c r="A15" s="6" t="n">
        <v>46100.55628472222</v>
      </c>
      <c r="B15" s="7" t="n">
        <v>82.37</v>
      </c>
      <c r="C15" s="7" t="n">
        <v>106.72</v>
      </c>
      <c r="D15" s="8" t="n">
        <v>1.3</v>
      </c>
      <c r="E15" s="7" t="n">
        <v>152.57</v>
      </c>
      <c r="F15" s="7" t="n">
        <v>179.32</v>
      </c>
      <c r="G15" s="7" t="n">
        <v/>
      </c>
      <c r="H15" s="7" t="n">
        <v/>
      </c>
      <c r="I15" s="7" t="n">
        <v>3.9</v>
      </c>
      <c r="J15" s="7" t="n">
        <v>-0.89</v>
      </c>
      <c r="K15" s="7" t="n">
        <v>-4.79</v>
      </c>
      <c r="L15" s="7" t="n">
        <v>-0.09</v>
      </c>
      <c r="M15" s="9" t="n">
        <v>0.1</v>
      </c>
      <c r="N15" s="7" t="n">
        <v>18.5</v>
      </c>
      <c r="O15" s="7" t="n">
        <v>15.63</v>
      </c>
      <c r="P15" s="7" t="n">
        <v>19.11</v>
      </c>
      <c r="Q15" s="7" t="n">
        <v>3152.8</v>
      </c>
      <c r="R15" s="7" t="n">
        <v>-12.31</v>
      </c>
      <c r="S15" s="7" t="n">
        <v>-33.44</v>
      </c>
      <c r="T15" s="7" t="n">
        <v>-34.15</v>
      </c>
      <c r="U15" s="7" t="n">
        <v>-47.05</v>
      </c>
      <c r="V15" s="7" t="n">
        <v>53.73</v>
      </c>
      <c r="W15" s="7" t="n">
        <v>32.66</v>
      </c>
      <c r="X15" s="7" t="n">
        <v>3.96</v>
      </c>
      <c r="Y15" s="7" t="n">
        <v>64.16</v>
      </c>
      <c r="Z15" s="7" t="n">
        <v>1.47</v>
      </c>
      <c r="AA15" s="7" t="n">
        <v>-14.15</v>
      </c>
      <c r="AB15" s="9" t="n">
        <v>0</v>
      </c>
      <c r="AC15" s="7" t="n">
        <v/>
      </c>
      <c r="AD15" s="7" t="n">
        <v>4.77</v>
      </c>
      <c r="AE15" s="7" t="n">
        <v/>
      </c>
    </row>
    <row r="16">
      <c r="A16" s="2" t="n">
        <v>46100.55221064815</v>
      </c>
      <c r="B16" s="3" t="n">
        <v>85.54000000000001</v>
      </c>
      <c r="C16" s="3" t="n">
        <v>117.37</v>
      </c>
      <c r="D16" s="4" t="n">
        <v>1.37</v>
      </c>
      <c r="E16" s="3" t="n">
        <v>176.7</v>
      </c>
      <c r="F16" s="3" t="n">
        <v>192.87</v>
      </c>
      <c r="G16" s="3" t="n">
        <v/>
      </c>
      <c r="H16" s="3" t="n">
        <v/>
      </c>
      <c r="I16" s="3" t="n">
        <v>0.9</v>
      </c>
      <c r="J16" s="3" t="n">
        <v>0.82</v>
      </c>
      <c r="K16" s="3" t="n">
        <v>-0.08</v>
      </c>
      <c r="L16" s="3" t="n">
        <v>0.85</v>
      </c>
      <c r="M16" s="5" t="n">
        <v>-1.7</v>
      </c>
      <c r="N16" s="3" t="n">
        <v>18.89</v>
      </c>
      <c r="O16" s="3" t="n">
        <v>15.79</v>
      </c>
      <c r="P16" s="3" t="n">
        <v>20.72</v>
      </c>
      <c r="Q16" s="3" t="n">
        <v>3617.3</v>
      </c>
      <c r="R16" s="3" t="n">
        <v>-0.24</v>
      </c>
      <c r="S16" s="3" t="n">
        <v>-0.95</v>
      </c>
      <c r="T16" s="3" t="n">
        <v>6.88</v>
      </c>
      <c r="U16" s="3" t="n">
        <v>7.39</v>
      </c>
      <c r="V16" s="3" t="n">
        <v>74.84999999999999</v>
      </c>
      <c r="W16" s="3" t="n">
        <v>39.14</v>
      </c>
      <c r="X16" s="3" t="n">
        <v>-0.12</v>
      </c>
      <c r="Y16" s="3" t="n">
        <v>59.34</v>
      </c>
      <c r="Z16" s="3" t="n">
        <v>1.42</v>
      </c>
      <c r="AA16" s="3" t="n">
        <v>-0.36</v>
      </c>
      <c r="AB16" s="5" t="n">
        <v>2.05</v>
      </c>
      <c r="AC16" s="3" t="n">
        <v/>
      </c>
      <c r="AD16" s="3" t="n">
        <v>5.64</v>
      </c>
      <c r="AE16" s="3" t="n">
        <v/>
      </c>
    </row>
    <row r="17">
      <c r="A17" s="6" t="n">
        <v>46100.55356481481</v>
      </c>
      <c r="B17" s="7" t="n">
        <v>85.43000000000001</v>
      </c>
      <c r="C17" s="7" t="n">
        <v>114.96</v>
      </c>
      <c r="D17" s="8" t="n">
        <v>1.35</v>
      </c>
      <c r="E17" s="7" t="n">
        <v>173.48</v>
      </c>
      <c r="F17" s="7" t="n">
        <v>194.1</v>
      </c>
      <c r="G17" s="7" t="n">
        <v/>
      </c>
      <c r="H17" s="7" t="n">
        <v/>
      </c>
      <c r="I17" s="7" t="n">
        <v>1.9</v>
      </c>
      <c r="J17" s="7" t="n">
        <v>-2.98</v>
      </c>
      <c r="K17" s="7" t="n">
        <v>-4.88</v>
      </c>
      <c r="L17" s="7" t="n">
        <v>-2.32</v>
      </c>
      <c r="M17" s="9" t="n">
        <v>-1.5</v>
      </c>
      <c r="N17" s="7" t="n">
        <v>19.16</v>
      </c>
      <c r="O17" s="7" t="n">
        <v>16.46</v>
      </c>
      <c r="P17" s="7" t="n">
        <v>21.32</v>
      </c>
      <c r="Q17" s="7" t="n">
        <v>3159</v>
      </c>
      <c r="R17" s="7" t="n">
        <v>-10.84</v>
      </c>
      <c r="S17" s="7" t="n">
        <v>-37.68</v>
      </c>
      <c r="T17" s="7" t="n">
        <v>-58.68</v>
      </c>
      <c r="U17" s="7" t="n">
        <v>-71.03</v>
      </c>
      <c r="V17" s="7" t="n">
        <v>69.81</v>
      </c>
      <c r="W17" s="7" t="n">
        <v>36.93</v>
      </c>
      <c r="X17" s="7" t="n">
        <v>0.9</v>
      </c>
      <c r="Y17" s="7" t="n">
        <v>61.15</v>
      </c>
      <c r="Z17" s="7" t="n">
        <v>1.45</v>
      </c>
      <c r="AA17" s="7" t="n">
        <v>-12.52</v>
      </c>
      <c r="AB17" s="9" t="n">
        <v>1.85</v>
      </c>
      <c r="AC17" s="7" t="n">
        <v/>
      </c>
      <c r="AD17" s="7" t="n">
        <v>5.41</v>
      </c>
      <c r="AE17" s="7" t="n">
        <v/>
      </c>
    </row>
    <row r="18">
      <c r="A18" s="2" t="n">
        <v>46100.55986111111</v>
      </c>
      <c r="B18" s="3" t="n">
        <v>85.68000000000001</v>
      </c>
      <c r="C18" s="3" t="n">
        <v>119.39</v>
      </c>
      <c r="D18" s="4" t="n">
        <v>1.39</v>
      </c>
      <c r="E18" s="3" t="n">
        <v>176.16</v>
      </c>
      <c r="F18" s="3" t="n">
        <v>190.08</v>
      </c>
      <c r="G18" s="3" t="n">
        <v/>
      </c>
      <c r="H18" s="3" t="n">
        <v/>
      </c>
      <c r="I18" s="3" t="n">
        <v>4.7</v>
      </c>
      <c r="J18" s="3" t="n">
        <v>-1.71</v>
      </c>
      <c r="K18" s="3" t="n">
        <v>-6.41</v>
      </c>
      <c r="L18" s="3" t="n">
        <v>-0.52</v>
      </c>
      <c r="M18" s="5" t="n">
        <v>0.3</v>
      </c>
      <c r="N18" s="3" t="n">
        <v>19.03</v>
      </c>
      <c r="O18" s="3" t="n">
        <v>15.74</v>
      </c>
      <c r="P18" s="3" t="n">
        <v>19.71</v>
      </c>
      <c r="Q18" s="3" t="n">
        <v>4129</v>
      </c>
      <c r="R18" s="3" t="n">
        <v>-15.34</v>
      </c>
      <c r="S18" s="3" t="n">
        <v>-63.54</v>
      </c>
      <c r="T18" s="3" t="n">
        <v>-68.29000000000001</v>
      </c>
      <c r="U18" s="3" t="n">
        <v>-80.64</v>
      </c>
      <c r="V18" s="3" t="n">
        <v>77.64</v>
      </c>
      <c r="W18" s="3" t="n">
        <v>40.36</v>
      </c>
      <c r="X18" s="3" t="n">
        <v>4.85</v>
      </c>
      <c r="Y18" s="3" t="n">
        <v>60.89</v>
      </c>
      <c r="Z18" s="3" t="n">
        <v>1.42</v>
      </c>
      <c r="AA18" s="3" t="n">
        <v>-18.14</v>
      </c>
      <c r="AB18" s="5" t="n">
        <v>-0.39</v>
      </c>
      <c r="AC18" s="3" t="n">
        <v/>
      </c>
      <c r="AD18" s="3" t="n">
        <v>5.72</v>
      </c>
      <c r="AE18" s="3" t="n">
        <v/>
      </c>
    </row>
    <row r="19">
      <c r="A19" s="6" t="n">
        <v>46100.56</v>
      </c>
      <c r="B19" s="7" t="n">
        <v>85.40000000000001</v>
      </c>
      <c r="C19" s="7" t="n">
        <v>120.11</v>
      </c>
      <c r="D19" s="8" t="n">
        <v>1.41</v>
      </c>
      <c r="E19" s="7" t="n">
        <v>180.76</v>
      </c>
      <c r="F19" s="7" t="n">
        <v>192.7</v>
      </c>
      <c r="G19" s="7" t="n">
        <v>-4.19</v>
      </c>
      <c r="H19" s="7" t="n">
        <v>-7.75</v>
      </c>
      <c r="I19" s="7" t="n">
        <v>2.5</v>
      </c>
      <c r="J19" s="7" t="n">
        <v>0.62</v>
      </c>
      <c r="K19" s="7" t="n">
        <v>-1.88</v>
      </c>
      <c r="L19" s="7" t="n">
        <v>0.93</v>
      </c>
      <c r="M19" s="9" t="n">
        <v>-0.9</v>
      </c>
      <c r="N19" s="7" t="n">
        <v>19.57</v>
      </c>
      <c r="O19" s="7" t="n">
        <v>16.25</v>
      </c>
      <c r="P19" s="7" t="n">
        <v>20.69</v>
      </c>
      <c r="Q19" s="7" t="n">
        <v>3971.81</v>
      </c>
      <c r="R19" s="7" t="n">
        <v>-2.4</v>
      </c>
      <c r="S19" s="7" t="n">
        <v>-10.38</v>
      </c>
      <c r="T19" s="7" t="n">
        <v>-1.57</v>
      </c>
      <c r="U19" s="7" t="n">
        <v>-2.65</v>
      </c>
      <c r="V19" s="7" t="n">
        <v>84.17</v>
      </c>
      <c r="W19" s="7" t="n">
        <v>42.08</v>
      </c>
      <c r="X19" s="7" t="n">
        <v>1.81</v>
      </c>
      <c r="Y19" s="7" t="n">
        <v>60.03</v>
      </c>
      <c r="Z19" s="7" t="n">
        <v>1.46</v>
      </c>
      <c r="AA19" s="7" t="n">
        <v>-4.77</v>
      </c>
      <c r="AB19" s="9" t="n">
        <v>1.22</v>
      </c>
      <c r="AC19" s="7" t="n">
        <v/>
      </c>
      <c r="AD19" s="7" t="n">
        <v>5.93</v>
      </c>
      <c r="AE19" s="7" t="n">
        <v>57.32</v>
      </c>
    </row>
    <row r="20">
      <c r="A20" s="2" t="n">
        <v>46100.55390046296</v>
      </c>
      <c r="B20" s="3" t="n">
        <v>83.44</v>
      </c>
      <c r="C20" s="3" t="n">
        <v>116.89</v>
      </c>
      <c r="D20" s="4" t="n">
        <v>1.4</v>
      </c>
      <c r="E20" s="3" t="n">
        <v>173.92</v>
      </c>
      <c r="F20" s="3" t="n">
        <v>197.68</v>
      </c>
      <c r="G20" s="3" t="n">
        <v/>
      </c>
      <c r="H20" s="3" t="n">
        <v/>
      </c>
      <c r="I20" s="3" t="n">
        <v>2.7</v>
      </c>
      <c r="J20" s="3" t="n">
        <v>-3.7</v>
      </c>
      <c r="K20" s="3" t="n">
        <v>-6.4</v>
      </c>
      <c r="L20" s="3" t="n">
        <v>-2.73</v>
      </c>
      <c r="M20" s="5" t="n">
        <v>-1.1</v>
      </c>
      <c r="N20" s="3" t="n">
        <v>17.47</v>
      </c>
      <c r="O20" s="3" t="n">
        <v>14.83</v>
      </c>
      <c r="P20" s="3" t="n">
        <v>19.79</v>
      </c>
      <c r="Q20" s="3" t="n">
        <v>3251.32</v>
      </c>
      <c r="R20" s="3" t="n">
        <v>-14.31</v>
      </c>
      <c r="S20" s="3" t="n">
        <v>-49.78</v>
      </c>
      <c r="T20" s="3" t="n">
        <v>-74.5</v>
      </c>
      <c r="U20" s="3" t="n">
        <v>-92.81</v>
      </c>
      <c r="V20" s="3" t="n">
        <v>63.74</v>
      </c>
      <c r="W20" s="3" t="n">
        <v>34.8</v>
      </c>
      <c r="X20" s="3" t="n">
        <v>2.12</v>
      </c>
      <c r="Y20" s="3" t="n">
        <v>63.18</v>
      </c>
      <c r="Z20" s="3" t="n">
        <v>1.51</v>
      </c>
      <c r="AA20" s="3" t="n">
        <v>-18.47</v>
      </c>
      <c r="AB20" s="5" t="n">
        <v>1.46</v>
      </c>
      <c r="AC20" s="3" t="n">
        <v/>
      </c>
      <c r="AD20" s="3" t="n">
        <v>5.26</v>
      </c>
      <c r="AE20" s="3" t="n">
        <v/>
      </c>
    </row>
    <row r="21">
      <c r="A21" s="6" t="n">
        <v>46100.55960648148</v>
      </c>
      <c r="B21" s="7" t="n">
        <v>84.79000000000001</v>
      </c>
      <c r="C21" s="7" t="n">
        <v>115.65</v>
      </c>
      <c r="D21" s="8" t="n">
        <v>1.36</v>
      </c>
      <c r="E21" s="7" t="n">
        <v>177.49</v>
      </c>
      <c r="F21" s="7" t="n">
        <v>207.21</v>
      </c>
      <c r="G21" s="7" t="n">
        <v/>
      </c>
      <c r="H21" s="7" t="n">
        <v/>
      </c>
      <c r="I21" s="7" t="n">
        <v>4.7</v>
      </c>
      <c r="J21" s="7" t="n">
        <v>1.72</v>
      </c>
      <c r="K21" s="7" t="n">
        <v>-2.98</v>
      </c>
      <c r="L21" s="7" t="n">
        <v>2.03</v>
      </c>
      <c r="M21" s="9" t="n">
        <v>-0.7</v>
      </c>
      <c r="N21" s="7" t="n">
        <v>18.69</v>
      </c>
      <c r="O21" s="7" t="n">
        <v>16.77</v>
      </c>
      <c r="P21" s="7" t="n">
        <v>19.75</v>
      </c>
      <c r="Q21" s="7" t="n">
        <v>2227.64</v>
      </c>
      <c r="R21" s="7" t="n">
        <v>-7.66</v>
      </c>
      <c r="S21" s="7" t="n">
        <v>-21.41</v>
      </c>
      <c r="T21" s="7" t="n">
        <v>-2.51</v>
      </c>
      <c r="U21" s="7" t="n">
        <v>-6.93</v>
      </c>
      <c r="V21" s="7" t="n">
        <v>63.13</v>
      </c>
      <c r="W21" s="7" t="n">
        <v>32.44</v>
      </c>
      <c r="X21" s="7" t="n">
        <v>4.28</v>
      </c>
      <c r="Y21" s="7" t="n">
        <v>61.41</v>
      </c>
      <c r="Z21" s="7" t="n">
        <v>1.41</v>
      </c>
      <c r="AA21" s="7" t="n">
        <v>-8.49</v>
      </c>
      <c r="AB21" s="9" t="n">
        <v>0.91</v>
      </c>
      <c r="AC21" s="7" t="n">
        <v/>
      </c>
      <c r="AD21" s="7" t="n">
        <v>5.08</v>
      </c>
      <c r="AE21" s="7" t="n">
        <v/>
      </c>
    </row>
    <row r="22">
      <c r="A22" s="2" t="n">
        <v>46100.5597337963</v>
      </c>
      <c r="B22" s="3" t="n">
        <v>84.98</v>
      </c>
      <c r="C22" s="3" t="n">
        <v>114.53</v>
      </c>
      <c r="D22" s="4" t="n">
        <v>1.35</v>
      </c>
      <c r="E22" s="3" t="n">
        <v>173.53</v>
      </c>
      <c r="F22" s="3" t="n">
        <v>196.31</v>
      </c>
      <c r="G22" s="3" t="n">
        <v/>
      </c>
      <c r="H22" s="3" t="n">
        <v/>
      </c>
      <c r="I22" s="3" t="n">
        <v>3.5</v>
      </c>
      <c r="J22" s="3" t="n">
        <v>0.33</v>
      </c>
      <c r="K22" s="3" t="n">
        <v>-3.17</v>
      </c>
      <c r="L22" s="3" t="n">
        <v>0.76</v>
      </c>
      <c r="M22" s="5" t="n">
        <v>-1.1</v>
      </c>
      <c r="N22" s="3" t="n">
        <v>18.89</v>
      </c>
      <c r="O22" s="3" t="n">
        <v>16.32</v>
      </c>
      <c r="P22" s="3" t="n">
        <v>20.26</v>
      </c>
      <c r="Q22" s="3" t="n">
        <v>2956.73</v>
      </c>
      <c r="R22" s="3" t="n">
        <v>-7.81</v>
      </c>
      <c r="S22" s="3" t="n">
        <v>-26.02</v>
      </c>
      <c r="T22" s="3" t="n">
        <v>-19.13</v>
      </c>
      <c r="U22" s="3" t="n">
        <v>-25.66</v>
      </c>
      <c r="V22" s="3" t="n">
        <v>67.20999999999999</v>
      </c>
      <c r="W22" s="3" t="n">
        <v>35.77</v>
      </c>
      <c r="X22" s="3" t="n">
        <v>2.88</v>
      </c>
      <c r="Y22" s="3" t="n">
        <v>62.33</v>
      </c>
      <c r="Z22" s="3" t="n">
        <v>1.45</v>
      </c>
      <c r="AA22" s="3" t="n">
        <v>-8.609999999999999</v>
      </c>
      <c r="AB22" s="5" t="n">
        <v>1.26</v>
      </c>
      <c r="AC22" s="3" t="n">
        <v/>
      </c>
      <c r="AD22" s="3" t="n">
        <v>5.32</v>
      </c>
      <c r="AE22" s="3" t="n">
        <v/>
      </c>
    </row>
    <row r="23">
      <c r="A23" s="6" t="n">
        <v>46100.55414351852</v>
      </c>
      <c r="B23" s="7" t="n">
        <v>84.90000000000001</v>
      </c>
      <c r="C23" s="7" t="n">
        <v>104.65</v>
      </c>
      <c r="D23" s="8" t="n">
        <v>1.23</v>
      </c>
      <c r="E23" s="7" t="n">
        <v>150.57</v>
      </c>
      <c r="F23" s="7" t="n">
        <v>178.6</v>
      </c>
      <c r="G23" s="7" t="n">
        <v>-0.47</v>
      </c>
      <c r="H23" s="7" t="n">
        <v>-1.15</v>
      </c>
      <c r="I23" s="7" t="n">
        <v>1.4</v>
      </c>
      <c r="J23" s="7" t="n">
        <v>4.88</v>
      </c>
      <c r="K23" s="7" t="n">
        <v>3.48</v>
      </c>
      <c r="L23" s="7" t="n">
        <v>4.34</v>
      </c>
      <c r="M23" s="9" t="n">
        <v>1.4</v>
      </c>
      <c r="N23" s="7" t="n">
        <v>19.19</v>
      </c>
      <c r="O23" s="7" t="n">
        <v>16.55</v>
      </c>
      <c r="P23" s="7" t="n">
        <v>18.04</v>
      </c>
      <c r="Q23" s="7" t="n">
        <v>2799</v>
      </c>
      <c r="R23" s="7" t="n">
        <v>9.34</v>
      </c>
      <c r="S23" s="7" t="n">
        <v>23.22</v>
      </c>
      <c r="T23" s="7" t="n">
        <v>57.3</v>
      </c>
      <c r="U23" s="7" t="n">
        <v>72.92</v>
      </c>
      <c r="V23" s="7" t="n">
        <v>53.26</v>
      </c>
      <c r="W23" s="7" t="n">
        <v>32.22</v>
      </c>
      <c r="X23" s="7" t="n">
        <v>1.92</v>
      </c>
      <c r="Y23" s="7" t="n">
        <v>62.69</v>
      </c>
      <c r="Z23" s="7" t="n">
        <v>1.21</v>
      </c>
      <c r="AA23" s="7" t="n">
        <v>10.39</v>
      </c>
      <c r="AB23" s="9" t="n">
        <v>-2.24</v>
      </c>
      <c r="AC23" s="7" t="n">
        <v/>
      </c>
      <c r="AD23" s="7" t="n">
        <v>4.69</v>
      </c>
      <c r="AE23" s="7" t="n">
        <v>56.76</v>
      </c>
    </row>
    <row r="24">
      <c r="A24" s="2" t="n">
        <v>46100.55646990741</v>
      </c>
      <c r="B24" s="3" t="n">
        <v>85.2</v>
      </c>
      <c r="C24" s="3" t="n">
        <v>114.58</v>
      </c>
      <c r="D24" s="4" t="n">
        <v>1.34</v>
      </c>
      <c r="E24" s="3" t="n">
        <v>169.34</v>
      </c>
      <c r="F24" s="3" t="n">
        <v>194.12</v>
      </c>
      <c r="G24" s="3" t="n">
        <v/>
      </c>
      <c r="H24" s="3" t="n">
        <v/>
      </c>
      <c r="I24" s="3" t="n">
        <v>2.5</v>
      </c>
      <c r="J24" s="3" t="n">
        <v>-3.18</v>
      </c>
      <c r="K24" s="3" t="n">
        <v>-5.68</v>
      </c>
      <c r="L24" s="3" t="n">
        <v>-2.28</v>
      </c>
      <c r="M24" s="5" t="n">
        <v>-0.1</v>
      </c>
      <c r="N24" s="3" t="n">
        <v>17.7</v>
      </c>
      <c r="O24" s="3" t="n">
        <v>15.04</v>
      </c>
      <c r="P24" s="3" t="n">
        <v>18.75</v>
      </c>
      <c r="Q24" s="3" t="n">
        <v>3189</v>
      </c>
      <c r="R24" s="3" t="n">
        <v>-13.81</v>
      </c>
      <c r="S24" s="3" t="n">
        <v>-45.34</v>
      </c>
      <c r="T24" s="3" t="n">
        <v>-65.45</v>
      </c>
      <c r="U24" s="3" t="n">
        <v>-82.91</v>
      </c>
      <c r="V24" s="3" t="n">
        <v>61.28</v>
      </c>
      <c r="W24" s="3" t="n">
        <v>34.18</v>
      </c>
      <c r="X24" s="3" t="n">
        <v>2.42</v>
      </c>
      <c r="Y24" s="3" t="n">
        <v>63.31</v>
      </c>
      <c r="Z24" s="3" t="n">
        <v>1.4</v>
      </c>
      <c r="AA24" s="3" t="n">
        <v>-17.08</v>
      </c>
      <c r="AB24" s="5" t="n">
        <v>0.2</v>
      </c>
      <c r="AC24" s="3" t="n">
        <v/>
      </c>
      <c r="AD24" s="3" t="n">
        <v>5.14</v>
      </c>
      <c r="AE24" s="3" t="n">
        <v/>
      </c>
    </row>
    <row r="25">
      <c r="A25" s="6" t="n">
        <v>46100.55930555556</v>
      </c>
      <c r="B25" s="7" t="n">
        <v>83.08</v>
      </c>
      <c r="C25" s="7" t="n">
        <v>110.39</v>
      </c>
      <c r="D25" s="8" t="n">
        <v>1.33</v>
      </c>
      <c r="E25" s="7" t="n">
        <v>163.05</v>
      </c>
      <c r="F25" s="7" t="n">
        <v>186.41</v>
      </c>
      <c r="G25" s="7" t="n">
        <v/>
      </c>
      <c r="H25" s="7" t="n">
        <v/>
      </c>
      <c r="I25" s="7" t="n">
        <v>4.3</v>
      </c>
      <c r="J25" s="7" t="n">
        <v>-2.54</v>
      </c>
      <c r="K25" s="7" t="n">
        <v>-6.84</v>
      </c>
      <c r="L25" s="7" t="n">
        <v>-1.6</v>
      </c>
      <c r="M25" s="9" t="n">
        <v>-0.9</v>
      </c>
      <c r="N25" s="7" t="n">
        <v>19.58</v>
      </c>
      <c r="O25" s="7" t="n">
        <v>16.94</v>
      </c>
      <c r="P25" s="7" t="n">
        <v>21.63</v>
      </c>
      <c r="Q25" s="7" t="n">
        <v>3051.08</v>
      </c>
      <c r="R25" s="7" t="n">
        <v>-15.65</v>
      </c>
      <c r="S25" s="7" t="n">
        <v>-47.45</v>
      </c>
      <c r="T25" s="7" t="n">
        <v>-61.01</v>
      </c>
      <c r="U25" s="7" t="n">
        <v>-77.77</v>
      </c>
      <c r="V25" s="7" t="n">
        <v>63.42</v>
      </c>
      <c r="W25" s="7" t="n">
        <v>35.28</v>
      </c>
      <c r="X25" s="7" t="n">
        <v>3.89</v>
      </c>
      <c r="Y25" s="7" t="n">
        <v>64.72</v>
      </c>
      <c r="Z25" s="7" t="n">
        <v>1.43</v>
      </c>
      <c r="AA25" s="7" t="n">
        <v>-17.86</v>
      </c>
      <c r="AB25" s="9" t="n">
        <v>1.06</v>
      </c>
      <c r="AC25" s="7" t="n">
        <v/>
      </c>
      <c r="AD25" s="7" t="n">
        <v>5.11</v>
      </c>
      <c r="AE25" s="7" t="n">
        <v/>
      </c>
    </row>
    <row r="27">
      <c r="A27" s="10" t="inlineStr">
        <is>
          <t>Pos Av</t>
        </is>
      </c>
      <c r="B27" s="11">
        <f>IF(COUNTIF(B2:B25,"&gt;0"),AVERAGEIF(B2:B25,"&gt;0"),"—")</f>
        <v/>
      </c>
      <c r="C27" s="11">
        <f>IF(COUNTIF(C2:C25,"&gt;0"),AVERAGEIF(C2:C25,"&gt;0"),"—")</f>
        <v/>
      </c>
      <c r="D27" s="12">
        <f>IF(COUNTIF(D2:D25,"&gt;0"),AVERAGEIF(D2:D25,"&gt;0"),"—")</f>
        <v/>
      </c>
      <c r="E27" s="11">
        <f>IF(COUNTIF(E2:E25,"&gt;0"),AVERAGEIF(E2:E25,"&gt;0"),"—")</f>
        <v/>
      </c>
      <c r="F27" s="11">
        <f>IF(COUNTIF(F2:F25,"&gt;0"),AVERAGEIF(F2:F25,"&gt;0"),"—")</f>
        <v/>
      </c>
      <c r="G27" s="11">
        <f>IF(COUNTIF(G2:G25,"&gt;0"),AVERAGEIF(G2:G25,"&gt;0"),"—")</f>
        <v/>
      </c>
      <c r="H27" s="11">
        <f>IF(COUNTIF(H2:H25,"&gt;0"),AVERAGEIF(H2:H25,"&gt;0"),"—")</f>
        <v/>
      </c>
      <c r="I27" s="11">
        <f>IF(COUNTIF(I2:I25,"&gt;0"),AVERAGEIF(I2:I25,"&gt;0"),"—")</f>
        <v/>
      </c>
      <c r="J27" s="11">
        <f>IF(COUNTIF(J2:J25,"&gt;0"),AVERAGEIF(J2:J25,"&gt;0"),"—")</f>
        <v/>
      </c>
      <c r="K27" s="11">
        <f>IF(COUNTIF(K2:K25,"&gt;0"),AVERAGEIF(K2:K25,"&gt;0"),"—")</f>
        <v/>
      </c>
      <c r="L27" s="11">
        <f>IF(COUNTIF(L2:L25,"&gt;0"),AVERAGEIF(L2:L25,"&gt;0"),"—")</f>
        <v/>
      </c>
      <c r="M27" s="13">
        <f>IF(COUNTIF(M2:M25,"&gt;0"),AVERAGEIF(M2:M25,"&gt;0"),"—")</f>
        <v/>
      </c>
      <c r="N27" s="11">
        <f>IF(COUNTIF(N2:N25,"&gt;0"),AVERAGEIF(N2:N25,"&gt;0"),"—")</f>
        <v/>
      </c>
      <c r="O27" s="11">
        <f>IF(COUNTIF(O2:O25,"&gt;0"),AVERAGEIF(O2:O25,"&gt;0"),"—")</f>
        <v/>
      </c>
      <c r="P27" s="11">
        <f>IF(COUNTIF(P2:P25,"&gt;0"),AVERAGEIF(P2:P25,"&gt;0"),"—")</f>
        <v/>
      </c>
      <c r="Q27" s="11">
        <f>IF(COUNTIF(Q2:Q25,"&gt;0"),AVERAGEIF(Q2:Q25,"&gt;0"),"—")</f>
        <v/>
      </c>
      <c r="R27" s="11">
        <f>IF(COUNTIF(R2:R25,"&gt;0"),AVERAGEIF(R2:R25,"&gt;0"),"—")</f>
        <v/>
      </c>
      <c r="S27" s="11">
        <f>IF(COUNTIF(S2:S25,"&gt;0"),AVERAGEIF(S2:S25,"&gt;0"),"—")</f>
        <v/>
      </c>
      <c r="T27" s="11">
        <f>IF(COUNTIF(T2:T25,"&gt;0"),AVERAGEIF(T2:T25,"&gt;0"),"—")</f>
        <v/>
      </c>
      <c r="U27" s="11">
        <f>IF(COUNTIF(U2:U25,"&gt;0"),AVERAGEIF(U2:U25,"&gt;0"),"—")</f>
        <v/>
      </c>
      <c r="V27" s="11">
        <f>IF(COUNTIF(V2:V25,"&gt;0"),AVERAGEIF(V2:V25,"&gt;0"),"—")</f>
        <v/>
      </c>
      <c r="W27" s="11">
        <f>IF(COUNTIF(W2:W25,"&gt;0"),AVERAGEIF(W2:W25,"&gt;0"),"—")</f>
        <v/>
      </c>
      <c r="X27" s="11">
        <f>IF(COUNTIF(X2:X25,"&gt;0"),AVERAGEIF(X2:X25,"&gt;0"),"—")</f>
        <v/>
      </c>
      <c r="Y27" s="11">
        <f>IF(COUNTIF(Y2:Y25,"&gt;0"),AVERAGEIF(Y2:Y25,"&gt;0"),"—")</f>
        <v/>
      </c>
      <c r="Z27" s="11">
        <f>IF(COUNTIF(Z2:Z25,"&gt;0"),AVERAGEIF(Z2:Z25,"&gt;0"),"—")</f>
        <v/>
      </c>
      <c r="AA27" s="11">
        <f>IF(COUNTIF(AA2:AA25,"&gt;0"),AVERAGEIF(AA2:AA25,"&gt;0"),"—")</f>
        <v/>
      </c>
      <c r="AB27" s="13">
        <f>IF(COUNTIF(AB2:AB25,"&gt;0"),AVERAGEIF(AB2:AB25,"&gt;0"),"—")</f>
        <v/>
      </c>
      <c r="AC27" s="11">
        <f>IF(COUNTIF(AC2:AC25,"&gt;0"),AVERAGEIF(AC2:AC25,"&gt;0"),"—")</f>
        <v/>
      </c>
      <c r="AD27" s="11">
        <f>IF(COUNTIF(AD2:AD25,"&gt;0"),AVERAGEIF(AD2:AD25,"&gt;0"),"—")</f>
        <v/>
      </c>
      <c r="AE27" s="11">
        <f>IF(COUNTIF(AE2:AE25,"&gt;0"),AVERAGEIF(AE2:AE25,"&gt;0"),"—")</f>
        <v/>
      </c>
    </row>
    <row r="28">
      <c r="A28" s="10" t="inlineStr">
        <is>
          <t>Neg Av</t>
        </is>
      </c>
      <c r="B28" s="11">
        <f>IF(COUNTIF(B2:B25,"&lt;0"),AVERAGEIF(B2:B25,"&lt;0"),"—")</f>
        <v/>
      </c>
      <c r="C28" s="11">
        <f>IF(COUNTIF(C2:C25,"&lt;0"),AVERAGEIF(C2:C25,"&lt;0"),"—")</f>
        <v/>
      </c>
      <c r="D28" s="12">
        <f>IF(COUNTIF(D2:D25,"&lt;0"),AVERAGEIF(D2:D25,"&lt;0"),"—")</f>
        <v/>
      </c>
      <c r="E28" s="11">
        <f>IF(COUNTIF(E2:E25,"&lt;0"),AVERAGEIF(E2:E25,"&lt;0"),"—")</f>
        <v/>
      </c>
      <c r="F28" s="11">
        <f>IF(COUNTIF(F2:F25,"&lt;0"),AVERAGEIF(F2:F25,"&lt;0"),"—")</f>
        <v/>
      </c>
      <c r="G28" s="11">
        <f>IF(COUNTIF(G2:G25,"&lt;0"),AVERAGEIF(G2:G25,"&lt;0"),"—")</f>
        <v/>
      </c>
      <c r="H28" s="11">
        <f>IF(COUNTIF(H2:H25,"&lt;0"),AVERAGEIF(H2:H25,"&lt;0"),"—")</f>
        <v/>
      </c>
      <c r="I28" s="11">
        <f>IF(COUNTIF(I2:I25,"&lt;0"),AVERAGEIF(I2:I25,"&lt;0"),"—")</f>
        <v/>
      </c>
      <c r="J28" s="11">
        <f>IF(COUNTIF(J2:J25,"&lt;0"),AVERAGEIF(J2:J25,"&lt;0"),"—")</f>
        <v/>
      </c>
      <c r="K28" s="11">
        <f>IF(COUNTIF(K2:K25,"&lt;0"),AVERAGEIF(K2:K25,"&lt;0"),"—")</f>
        <v/>
      </c>
      <c r="L28" s="11">
        <f>IF(COUNTIF(L2:L25,"&lt;0"),AVERAGEIF(L2:L25,"&lt;0"),"—")</f>
        <v/>
      </c>
      <c r="M28" s="13">
        <f>IF(COUNTIF(M2:M25,"&lt;0"),AVERAGEIF(M2:M25,"&lt;0"),"—")</f>
        <v/>
      </c>
      <c r="N28" s="11">
        <f>IF(COUNTIF(N2:N25,"&lt;0"),AVERAGEIF(N2:N25,"&lt;0"),"—")</f>
        <v/>
      </c>
      <c r="O28" s="11">
        <f>IF(COUNTIF(O2:O25,"&lt;0"),AVERAGEIF(O2:O25,"&lt;0"),"—")</f>
        <v/>
      </c>
      <c r="P28" s="11">
        <f>IF(COUNTIF(P2:P25,"&lt;0"),AVERAGEIF(P2:P25,"&lt;0"),"—")</f>
        <v/>
      </c>
      <c r="Q28" s="11">
        <f>IF(COUNTIF(Q2:Q25,"&lt;0"),AVERAGEIF(Q2:Q25,"&lt;0"),"—")</f>
        <v/>
      </c>
      <c r="R28" s="11">
        <f>IF(COUNTIF(R2:R25,"&lt;0"),AVERAGEIF(R2:R25,"&lt;0"),"—")</f>
        <v/>
      </c>
      <c r="S28" s="11">
        <f>IF(COUNTIF(S2:S25,"&lt;0"),AVERAGEIF(S2:S25,"&lt;0"),"—")</f>
        <v/>
      </c>
      <c r="T28" s="11">
        <f>IF(COUNTIF(T2:T25,"&lt;0"),AVERAGEIF(T2:T25,"&lt;0"),"—")</f>
        <v/>
      </c>
      <c r="U28" s="11">
        <f>IF(COUNTIF(U2:U25,"&lt;0"),AVERAGEIF(U2:U25,"&lt;0"),"—")</f>
        <v/>
      </c>
      <c r="V28" s="11">
        <f>IF(COUNTIF(V2:V25,"&lt;0"),AVERAGEIF(V2:V25,"&lt;0"),"—")</f>
        <v/>
      </c>
      <c r="W28" s="11">
        <f>IF(COUNTIF(W2:W25,"&lt;0"),AVERAGEIF(W2:W25,"&lt;0"),"—")</f>
        <v/>
      </c>
      <c r="X28" s="11">
        <f>IF(COUNTIF(X2:X25,"&lt;0"),AVERAGEIF(X2:X25,"&lt;0"),"—")</f>
        <v/>
      </c>
      <c r="Y28" s="11">
        <f>IF(COUNTIF(Y2:Y25,"&lt;0"),AVERAGEIF(Y2:Y25,"&lt;0"),"—")</f>
        <v/>
      </c>
      <c r="Z28" s="11">
        <f>IF(COUNTIF(Z2:Z25,"&lt;0"),AVERAGEIF(Z2:Z25,"&lt;0"),"—")</f>
        <v/>
      </c>
      <c r="AA28" s="11">
        <f>IF(COUNTIF(AA2:AA25,"&lt;0"),AVERAGEIF(AA2:AA25,"&lt;0"),"—")</f>
        <v/>
      </c>
      <c r="AB28" s="13">
        <f>IF(COUNTIF(AB2:AB25,"&lt;0"),AVERAGEIF(AB2:AB25,"&lt;0"),"—")</f>
        <v/>
      </c>
      <c r="AC28" s="11">
        <f>IF(COUNTIF(AC2:AC25,"&lt;0"),AVERAGEIF(AC2:AC25,"&lt;0"),"—")</f>
        <v/>
      </c>
      <c r="AD28" s="11">
        <f>IF(COUNTIF(AD2:AD25,"&lt;0"),AVERAGEIF(AD2:AD25,"&lt;0"),"—")</f>
        <v/>
      </c>
      <c r="AE28" s="11">
        <f>IF(COUNTIF(AE2:AE25,"&lt;0"),AVERAGEIF(AE2:AE25,"&lt;0"),"—")</f>
        <v/>
      </c>
    </row>
    <row r="29">
      <c r="A29" s="10" t="inlineStr">
        <is>
          <t>1 Av</t>
        </is>
      </c>
      <c r="B29" s="11">
        <f>IF(COUNTA(B2:B25),AVERAGE(B2:B25),"—")</f>
        <v/>
      </c>
      <c r="C29" s="11">
        <f>IF(COUNTA(C2:C25),AVERAGE(C2:C25),"—")</f>
        <v/>
      </c>
      <c r="D29" s="12">
        <f>IF(COUNTA(D2:D25),AVERAGE(D2:D25),"—")</f>
        <v/>
      </c>
      <c r="E29" s="11">
        <f>IF(COUNTA(E2:E25),AVERAGE(E2:E25),"—")</f>
        <v/>
      </c>
      <c r="F29" s="11">
        <f>IF(COUNTA(F2:F25),AVERAGE(F2:F25),"—")</f>
        <v/>
      </c>
      <c r="G29" s="11">
        <f>IF(COUNTA(G2:G25),AVERAGE(G2:G25),"—")</f>
        <v/>
      </c>
      <c r="H29" s="11">
        <f>IF(COUNTA(H2:H25),AVERAGE(H2:H25),"—")</f>
        <v/>
      </c>
      <c r="I29" s="11">
        <f>IF(COUNTA(I2:I25),AVERAGE(I2:I25),"—")</f>
        <v/>
      </c>
      <c r="J29" s="11">
        <f>IF(COUNTA(J2:J25),AVERAGE(J2:J25),"—")</f>
        <v/>
      </c>
      <c r="K29" s="11">
        <f>IF(COUNTA(K2:K25),AVERAGE(K2:K25),"—")</f>
        <v/>
      </c>
      <c r="L29" s="11">
        <f>IF(COUNTA(L2:L25),AVERAGE(L2:L25),"—")</f>
        <v/>
      </c>
      <c r="M29" s="13">
        <f>IF(COUNTA(M2:M25),AVERAGE(M2:M25),"—")</f>
        <v/>
      </c>
      <c r="N29" s="11">
        <f>IF(COUNTA(N2:N25),AVERAGE(N2:N25),"—")</f>
        <v/>
      </c>
      <c r="O29" s="11">
        <f>IF(COUNTA(O2:O25),AVERAGE(O2:O25),"—")</f>
        <v/>
      </c>
      <c r="P29" s="11">
        <f>IF(COUNTA(P2:P25),AVERAGE(P2:P25),"—")</f>
        <v/>
      </c>
      <c r="Q29" s="11">
        <f>IF(COUNTA(Q2:Q25),AVERAGE(Q2:Q25),"—")</f>
        <v/>
      </c>
      <c r="R29" s="11">
        <f>IF(COUNTA(R2:R25),AVERAGE(R2:R25),"—")</f>
        <v/>
      </c>
      <c r="S29" s="11">
        <f>IF(COUNTA(S2:S25),AVERAGE(S2:S25),"—")</f>
        <v/>
      </c>
      <c r="T29" s="11">
        <f>IF(COUNTA(T2:T25),AVERAGE(T2:T25),"—")</f>
        <v/>
      </c>
      <c r="U29" s="11">
        <f>IF(COUNTA(U2:U25),AVERAGE(U2:U25),"—")</f>
        <v/>
      </c>
      <c r="V29" s="11">
        <f>IF(COUNTA(V2:V25),AVERAGE(V2:V25),"—")</f>
        <v/>
      </c>
      <c r="W29" s="11">
        <f>IF(COUNTA(W2:W25),AVERAGE(W2:W25),"—")</f>
        <v/>
      </c>
      <c r="X29" s="11">
        <f>IF(COUNTA(X2:X25),AVERAGE(X2:X25),"—")</f>
        <v/>
      </c>
      <c r="Y29" s="11">
        <f>IF(COUNTA(Y2:Y25),AVERAGE(Y2:Y25),"—")</f>
        <v/>
      </c>
      <c r="Z29" s="11">
        <f>IF(COUNTA(Z2:Z25),AVERAGE(Z2:Z25),"—")</f>
        <v/>
      </c>
      <c r="AA29" s="11">
        <f>IF(COUNTA(AA2:AA25),AVERAGE(AA2:AA25),"—")</f>
        <v/>
      </c>
      <c r="AB29" s="13">
        <f>IF(COUNTA(AB2:AB25),AVERAGE(AB2:AB25),"—")</f>
        <v/>
      </c>
      <c r="AC29" s="11">
        <f>IF(COUNTA(AC2:AC25),AVERAGE(AC2:AC25),"—")</f>
        <v/>
      </c>
      <c r="AD29" s="11">
        <f>IF(COUNTA(AD2:AD25),AVERAGE(AD2:AD25),"—")</f>
        <v/>
      </c>
      <c r="AE29" s="11">
        <f>IF(COUNTA(AE2:AE25),AVERAGE(AE2:AE25),"—")</f>
        <v/>
      </c>
    </row>
    <row r="30">
      <c r="A30" s="10" t="inlineStr">
        <is>
          <t>Spread</t>
        </is>
      </c>
      <c r="B30" s="11">
        <f>IF(AND(ISNUMBER(B27),ISNUMBER(B28)),B27-B28,"—")</f>
        <v/>
      </c>
      <c r="C30" s="11">
        <f>IF(AND(ISNUMBER(C27),ISNUMBER(C28)),C27-C28,"—")</f>
        <v/>
      </c>
      <c r="D30" s="12">
        <f>IF(AND(ISNUMBER(D27),ISNUMBER(D28)),D27-D28,"—")</f>
        <v/>
      </c>
      <c r="E30" s="11">
        <f>IF(AND(ISNUMBER(E27),ISNUMBER(E28)),E27-E28,"—")</f>
        <v/>
      </c>
      <c r="F30" s="11">
        <f>IF(AND(ISNUMBER(F27),ISNUMBER(F28)),F27-F28,"—")</f>
        <v/>
      </c>
      <c r="G30" s="11">
        <f>IF(AND(ISNUMBER(G27),ISNUMBER(G28)),G27-G28,"—")</f>
        <v/>
      </c>
      <c r="H30" s="11">
        <f>IF(AND(ISNUMBER(H27),ISNUMBER(H28)),H27-H28,"—")</f>
        <v/>
      </c>
      <c r="I30" s="11">
        <f>IF(AND(ISNUMBER(I27),ISNUMBER(I28)),I27-I28,"—")</f>
        <v/>
      </c>
      <c r="J30" s="11">
        <f>IF(AND(ISNUMBER(J27),ISNUMBER(J28)),J27-J28,"—")</f>
        <v/>
      </c>
      <c r="K30" s="11">
        <f>IF(AND(ISNUMBER(K27),ISNUMBER(K28)),K27-K28,"—")</f>
        <v/>
      </c>
      <c r="L30" s="11">
        <f>IF(AND(ISNUMBER(L27),ISNUMBER(L28)),L27-L28,"—")</f>
        <v/>
      </c>
      <c r="M30" s="13">
        <f>IF(AND(ISNUMBER(M27),ISNUMBER(M28)),M27-M28,"—")</f>
        <v/>
      </c>
      <c r="N30" s="11">
        <f>IF(AND(ISNUMBER(N27),ISNUMBER(N28)),N27-N28,"—")</f>
        <v/>
      </c>
      <c r="O30" s="11">
        <f>IF(AND(ISNUMBER(O27),ISNUMBER(O28)),O27-O28,"—")</f>
        <v/>
      </c>
      <c r="P30" s="11">
        <f>IF(AND(ISNUMBER(P27),ISNUMBER(P28)),P27-P28,"—")</f>
        <v/>
      </c>
      <c r="Q30" s="11">
        <f>IF(AND(ISNUMBER(Q27),ISNUMBER(Q28)),Q27-Q28,"—")</f>
        <v/>
      </c>
      <c r="R30" s="11">
        <f>IF(AND(ISNUMBER(R27),ISNUMBER(R28)),R27-R28,"—")</f>
        <v/>
      </c>
      <c r="S30" s="11">
        <f>IF(AND(ISNUMBER(S27),ISNUMBER(S28)),S27-S28,"—")</f>
        <v/>
      </c>
      <c r="T30" s="11">
        <f>IF(AND(ISNUMBER(T27),ISNUMBER(T28)),T27-T28,"—")</f>
        <v/>
      </c>
      <c r="U30" s="11">
        <f>IF(AND(ISNUMBER(U27),ISNUMBER(U28)),U27-U28,"—")</f>
        <v/>
      </c>
      <c r="V30" s="11">
        <f>IF(AND(ISNUMBER(V27),ISNUMBER(V28)),V27-V28,"—")</f>
        <v/>
      </c>
      <c r="W30" s="11">
        <f>IF(AND(ISNUMBER(W27),ISNUMBER(W28)),W27-W28,"—")</f>
        <v/>
      </c>
      <c r="X30" s="11">
        <f>IF(AND(ISNUMBER(X27),ISNUMBER(X28)),X27-X28,"—")</f>
        <v/>
      </c>
      <c r="Y30" s="11">
        <f>IF(AND(ISNUMBER(Y27),ISNUMBER(Y28)),Y27-Y28,"—")</f>
        <v/>
      </c>
      <c r="Z30" s="11">
        <f>IF(AND(ISNUMBER(Z27),ISNUMBER(Z28)),Z27-Z28,"—")</f>
        <v/>
      </c>
      <c r="AA30" s="11">
        <f>IF(AND(ISNUMBER(AA27),ISNUMBER(AA28)),AA27-AA28,"—")</f>
        <v/>
      </c>
      <c r="AB30" s="13">
        <f>IF(AND(ISNUMBER(AB27),ISNUMBER(AB28)),AB27-AB28,"—")</f>
        <v/>
      </c>
      <c r="AC30" s="11">
        <f>IF(AND(ISNUMBER(AC27),ISNUMBER(AC28)),AC27-AC28,"—")</f>
        <v/>
      </c>
      <c r="AD30" s="11">
        <f>IF(AND(ISNUMBER(AD27),ISNUMBER(AD28)),AD27-AD28,"—")</f>
        <v/>
      </c>
      <c r="AE30" s="11">
        <f>IF(AND(ISNUMBER(AE27),ISNUMBER(AE28)),AE27-AE28,"—")</f>
        <v/>
      </c>
    </row>
    <row r="31">
      <c r="A31" s="10" t="inlineStr">
        <is>
          <t>% Pos</t>
        </is>
      </c>
      <c r="B31" s="14">
        <f>IF(COUNTA(B2:B25),COUNTIF(B2:B25,"&gt;0")/COUNTA(B2:B25),"—")</f>
        <v/>
      </c>
      <c r="C31" s="14">
        <f>IF(COUNTA(C2:C25),COUNTIF(C2:C25,"&gt;0")/COUNTA(C2:C25),"—")</f>
        <v/>
      </c>
      <c r="D31" s="14">
        <f>IF(COUNTA(D2:D25),COUNTIF(D2:D25,"&gt;0")/COUNTA(D2:D25),"—")</f>
        <v/>
      </c>
      <c r="E31" s="14">
        <f>IF(COUNTA(E2:E25),COUNTIF(E2:E25,"&gt;0")/COUNTA(E2:E25),"—")</f>
        <v/>
      </c>
      <c r="F31" s="14">
        <f>IF(COUNTA(F2:F25),COUNTIF(F2:F25,"&gt;0")/COUNTA(F2:F25),"—")</f>
        <v/>
      </c>
      <c r="G31" s="14">
        <f>IF(COUNTA(G2:G25),COUNTIF(G2:G25,"&gt;0")/COUNTA(G2:G25),"—")</f>
        <v/>
      </c>
      <c r="H31" s="14">
        <f>IF(COUNTA(H2:H25),COUNTIF(H2:H25,"&gt;0")/COUNTA(H2:H25),"—")</f>
        <v/>
      </c>
      <c r="I31" s="14">
        <f>IF(COUNTA(I2:I25),COUNTIF(I2:I25,"&gt;0")/COUNTA(I2:I25),"—")</f>
        <v/>
      </c>
      <c r="J31" s="14">
        <f>IF(COUNTA(J2:J25),COUNTIF(J2:J25,"&gt;0")/COUNTA(J2:J25),"—")</f>
        <v/>
      </c>
      <c r="K31" s="14">
        <f>IF(COUNTA(K2:K25),COUNTIF(K2:K25,"&gt;0")/COUNTA(K2:K25),"—")</f>
        <v/>
      </c>
      <c r="L31" s="14">
        <f>IF(COUNTA(L2:L25),COUNTIF(L2:L25,"&gt;0")/COUNTA(L2:L25),"—")</f>
        <v/>
      </c>
      <c r="M31" s="14">
        <f>IF(COUNTA(M2:M25),COUNTIF(M2:M25,"&gt;0")/COUNTA(M2:M25),"—")</f>
        <v/>
      </c>
      <c r="N31" s="14">
        <f>IF(COUNTA(N2:N25),COUNTIF(N2:N25,"&gt;0")/COUNTA(N2:N25),"—")</f>
        <v/>
      </c>
      <c r="O31" s="14">
        <f>IF(COUNTA(O2:O25),COUNTIF(O2:O25,"&gt;0")/COUNTA(O2:O25),"—")</f>
        <v/>
      </c>
      <c r="P31" s="14">
        <f>IF(COUNTA(P2:P25),COUNTIF(P2:P25,"&gt;0")/COUNTA(P2:P25),"—")</f>
        <v/>
      </c>
      <c r="Q31" s="14">
        <f>IF(COUNTA(Q2:Q25),COUNTIF(Q2:Q25,"&gt;0")/COUNTA(Q2:Q25),"—")</f>
        <v/>
      </c>
      <c r="R31" s="14">
        <f>IF(COUNTA(R2:R25),COUNTIF(R2:R25,"&gt;0")/COUNTA(R2:R25),"—")</f>
        <v/>
      </c>
      <c r="S31" s="14">
        <f>IF(COUNTA(S2:S25),COUNTIF(S2:S25,"&gt;0")/COUNTA(S2:S25),"—")</f>
        <v/>
      </c>
      <c r="T31" s="14">
        <f>IF(COUNTA(T2:T25),COUNTIF(T2:T25,"&gt;0")/COUNTA(T2:T25),"—")</f>
        <v/>
      </c>
      <c r="U31" s="14">
        <f>IF(COUNTA(U2:U25),COUNTIF(U2:U25,"&gt;0")/COUNTA(U2:U25),"—")</f>
        <v/>
      </c>
      <c r="V31" s="14">
        <f>IF(COUNTA(V2:V25),COUNTIF(V2:V25,"&gt;0")/COUNTA(V2:V25),"—")</f>
        <v/>
      </c>
      <c r="W31" s="14">
        <f>IF(COUNTA(W2:W25),COUNTIF(W2:W25,"&gt;0")/COUNTA(W2:W25),"—")</f>
        <v/>
      </c>
      <c r="X31" s="14">
        <f>IF(COUNTA(X2:X25),COUNTIF(X2:X25,"&gt;0")/COUNTA(X2:X25),"—")</f>
        <v/>
      </c>
      <c r="Y31" s="14">
        <f>IF(COUNTA(Y2:Y25),COUNTIF(Y2:Y25,"&gt;0")/COUNTA(Y2:Y25),"—")</f>
        <v/>
      </c>
      <c r="Z31" s="14">
        <f>IF(COUNTA(Z2:Z25),COUNTIF(Z2:Z25,"&gt;0")/COUNTA(Z2:Z25),"—")</f>
        <v/>
      </c>
      <c r="AA31" s="14">
        <f>IF(COUNTA(AA2:AA25),COUNTIF(AA2:AA25,"&gt;0")/COUNTA(AA2:AA25),"—")</f>
        <v/>
      </c>
      <c r="AB31" s="14">
        <f>IF(COUNTA(AB2:AB25),COUNTIF(AB2:AB25,"&gt;0")/COUNTA(AB2:AB25),"—")</f>
        <v/>
      </c>
      <c r="AC31" s="14">
        <f>IF(COUNTA(AC2:AC25),COUNTIF(AC2:AC25,"&gt;0")/COUNTA(AC2:AC25),"—")</f>
        <v/>
      </c>
      <c r="AD31" s="14">
        <f>IF(COUNTA(AD2:AD25),COUNTIF(AD2:AD25,"&gt;0")/COUNTA(AD2:AD25),"—")</f>
        <v/>
      </c>
      <c r="AE31" s="14">
        <f>IF(COUNTA(AE2:AE25),COUNTIF(AE2:AE25,"&gt;0")/COUNTA(AE2:AE25),"—")</f>
        <v/>
      </c>
    </row>
    <row r="32">
      <c r="A32" s="10" t="inlineStr">
        <is>
          <t>% Neg</t>
        </is>
      </c>
      <c r="B32" s="14">
        <f>IF(COUNTA(B2:B25),COUNTIF(B2:B25,"&lt;0")/COUNTA(B2:B25),"—")</f>
        <v/>
      </c>
      <c r="C32" s="14">
        <f>IF(COUNTA(C2:C25),COUNTIF(C2:C25,"&lt;0")/COUNTA(C2:C25),"—")</f>
        <v/>
      </c>
      <c r="D32" s="14">
        <f>IF(COUNTA(D2:D25),COUNTIF(D2:D25,"&lt;0")/COUNTA(D2:D25),"—")</f>
        <v/>
      </c>
      <c r="E32" s="14">
        <f>IF(COUNTA(E2:E25),COUNTIF(E2:E25,"&lt;0")/COUNTA(E2:E25),"—")</f>
        <v/>
      </c>
      <c r="F32" s="14">
        <f>IF(COUNTA(F2:F25),COUNTIF(F2:F25,"&lt;0")/COUNTA(F2:F25),"—")</f>
        <v/>
      </c>
      <c r="G32" s="14">
        <f>IF(COUNTA(G2:G25),COUNTIF(G2:G25,"&lt;0")/COUNTA(G2:G25),"—")</f>
        <v/>
      </c>
      <c r="H32" s="14">
        <f>IF(COUNTA(H2:H25),COUNTIF(H2:H25,"&lt;0")/COUNTA(H2:H25),"—")</f>
        <v/>
      </c>
      <c r="I32" s="14">
        <f>IF(COUNTA(I2:I25),COUNTIF(I2:I25,"&lt;0")/COUNTA(I2:I25),"—")</f>
        <v/>
      </c>
      <c r="J32" s="14">
        <f>IF(COUNTA(J2:J25),COUNTIF(J2:J25,"&lt;0")/COUNTA(J2:J25),"—")</f>
        <v/>
      </c>
      <c r="K32" s="14">
        <f>IF(COUNTA(K2:K25),COUNTIF(K2:K25,"&lt;0")/COUNTA(K2:K25),"—")</f>
        <v/>
      </c>
      <c r="L32" s="14">
        <f>IF(COUNTA(L2:L25),COUNTIF(L2:L25,"&lt;0")/COUNTA(L2:L25),"—")</f>
        <v/>
      </c>
      <c r="M32" s="14">
        <f>IF(COUNTA(M2:M25),COUNTIF(M2:M25,"&lt;0")/COUNTA(M2:M25),"—")</f>
        <v/>
      </c>
      <c r="N32" s="14">
        <f>IF(COUNTA(N2:N25),COUNTIF(N2:N25,"&lt;0")/COUNTA(N2:N25),"—")</f>
        <v/>
      </c>
      <c r="O32" s="14">
        <f>IF(COUNTA(O2:O25),COUNTIF(O2:O25,"&lt;0")/COUNTA(O2:O25),"—")</f>
        <v/>
      </c>
      <c r="P32" s="14">
        <f>IF(COUNTA(P2:P25),COUNTIF(P2:P25,"&lt;0")/COUNTA(P2:P25),"—")</f>
        <v/>
      </c>
      <c r="Q32" s="14">
        <f>IF(COUNTA(Q2:Q25),COUNTIF(Q2:Q25,"&lt;0")/COUNTA(Q2:Q25),"—")</f>
        <v/>
      </c>
      <c r="R32" s="14">
        <f>IF(COUNTA(R2:R25),COUNTIF(R2:R25,"&lt;0")/COUNTA(R2:R25),"—")</f>
        <v/>
      </c>
      <c r="S32" s="14">
        <f>IF(COUNTA(S2:S25),COUNTIF(S2:S25,"&lt;0")/COUNTA(S2:S25),"—")</f>
        <v/>
      </c>
      <c r="T32" s="14">
        <f>IF(COUNTA(T2:T25),COUNTIF(T2:T25,"&lt;0")/COUNTA(T2:T25),"—")</f>
        <v/>
      </c>
      <c r="U32" s="14">
        <f>IF(COUNTA(U2:U25),COUNTIF(U2:U25,"&lt;0")/COUNTA(U2:U25),"—")</f>
        <v/>
      </c>
      <c r="V32" s="14">
        <f>IF(COUNTA(V2:V25),COUNTIF(V2:V25,"&lt;0")/COUNTA(V2:V25),"—")</f>
        <v/>
      </c>
      <c r="W32" s="14">
        <f>IF(COUNTA(W2:W25),COUNTIF(W2:W25,"&lt;0")/COUNTA(W2:W25),"—")</f>
        <v/>
      </c>
      <c r="X32" s="14">
        <f>IF(COUNTA(X2:X25),COUNTIF(X2:X25,"&lt;0")/COUNTA(X2:X25),"—")</f>
        <v/>
      </c>
      <c r="Y32" s="14">
        <f>IF(COUNTA(Y2:Y25),COUNTIF(Y2:Y25,"&lt;0")/COUNTA(Y2:Y25),"—")</f>
        <v/>
      </c>
      <c r="Z32" s="14">
        <f>IF(COUNTA(Z2:Z25),COUNTIF(Z2:Z25,"&lt;0")/COUNTA(Z2:Z25),"—")</f>
        <v/>
      </c>
      <c r="AA32" s="14">
        <f>IF(COUNTA(AA2:AA25),COUNTIF(AA2:AA25,"&lt;0")/COUNTA(AA2:AA25),"—")</f>
        <v/>
      </c>
      <c r="AB32" s="14">
        <f>IF(COUNTA(AB2:AB25),COUNTIF(AB2:AB25,"&lt;0")/COUNTA(AB2:AB25),"—")</f>
        <v/>
      </c>
      <c r="AC32" s="14">
        <f>IF(COUNTA(AC2:AC25),COUNTIF(AC2:AC25,"&lt;0")/COUNTA(AC2:AC25),"—")</f>
        <v/>
      </c>
      <c r="AD32" s="14">
        <f>IF(COUNTA(AD2:AD25),COUNTIF(AD2:AD25,"&lt;0")/COUNTA(AD2:AD25),"—")</f>
        <v/>
      </c>
      <c r="AE32" s="14">
        <f>IF(COUNTA(AE2:AE25),COUNTIF(AE2:AE25,"&lt;0")/COUNTA(AE2:AE25),"—")</f>
        <v/>
      </c>
    </row>
  </sheetData>
  <autoFilter ref="A1:AE2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.3" customWidth="1" min="1" max="1"/>
  </cols>
  <sheetData>
    <row r="1" ht="70" customHeight="1">
      <c r="A1" s="1" t="inlineStr">
        <is>
          <t>Time</t>
        </is>
      </c>
      <c r="B1" s="1" t="inlineStr">
        <is>
          <t>Club Speed (Mph)</t>
        </is>
      </c>
      <c r="C1" s="1" t="inlineStr">
        <is>
          <t>Ball Speed (Mph)</t>
        </is>
      </c>
      <c r="D1" s="1" t="inlineStr">
        <is>
          <t>Smash Factor</t>
        </is>
      </c>
      <c r="E1" s="1" t="inlineStr">
        <is>
          <t>Carry (Yds)</t>
        </is>
      </c>
      <c r="F1" s="1" t="inlineStr">
        <is>
          <t>Total (Yds)</t>
        </is>
      </c>
      <c r="G1" s="1" t="inlineStr">
        <is>
          <t>Impact Height (mm)</t>
        </is>
      </c>
      <c r="H1" s="1" t="inlineStr">
        <is>
          <t>Impact Offset (mm)</t>
        </is>
      </c>
      <c r="I1" s="1" t="inlineStr">
        <is>
          <t>Club Path (Deg)</t>
        </is>
      </c>
      <c r="J1" s="1" t="inlineStr">
        <is>
          <t>Face Angle (Deg)</t>
        </is>
      </c>
      <c r="K1" s="1" t="inlineStr">
        <is>
          <t>Face To Path (Deg)</t>
        </is>
      </c>
      <c r="L1" s="1" t="inlineStr">
        <is>
          <t>Launch Direction (Deg)</t>
        </is>
      </c>
      <c r="M1" s="1" t="inlineStr">
        <is>
          <t>Attack Angle (Deg)</t>
        </is>
      </c>
      <c r="N1" s="1" t="inlineStr">
        <is>
          <t>Dynamic Loft (Deg)</t>
        </is>
      </c>
      <c r="O1" s="1" t="inlineStr">
        <is>
          <t>Launch Angle (Deg)</t>
        </is>
      </c>
      <c r="P1" s="1" t="inlineStr">
        <is>
          <t>Spin Loft (Deg)</t>
        </is>
      </c>
      <c r="Q1" s="1" t="inlineStr">
        <is>
          <t>Spin Rate (Rpm)</t>
        </is>
      </c>
      <c r="R1" s="1" t="inlineStr">
        <is>
          <t>Spin Axis (Deg)</t>
        </is>
      </c>
      <c r="S1" s="1" t="inlineStr">
        <is>
          <t>Curve (Ft)</t>
        </is>
      </c>
      <c r="T1" s="1" t="inlineStr">
        <is>
          <t>Carry Side (Ft)</t>
        </is>
      </c>
      <c r="U1" s="1" t="inlineStr">
        <is>
          <t>Total Side (Ft)</t>
        </is>
      </c>
      <c r="V1" s="1" t="inlineStr">
        <is>
          <t>Max Height (Ft)</t>
        </is>
      </c>
      <c r="W1" s="1" t="inlineStr">
        <is>
          <t>Landing Angle (Deg)</t>
        </is>
      </c>
      <c r="X1" s="1" t="inlineStr">
        <is>
          <t>Swing Direction (Deg)</t>
        </is>
      </c>
      <c r="Y1" s="1" t="inlineStr">
        <is>
          <t>Swing Plane (Deg)</t>
        </is>
      </c>
      <c r="Z1" s="1" t="inlineStr">
        <is>
          <t>Swing Radius</t>
        </is>
      </c>
      <c r="AA1" s="1" t="inlineStr">
        <is>
          <t>DPlane Tilt</t>
        </is>
      </c>
      <c r="AB1" s="1" t="inlineStr">
        <is>
          <t>Low Point (In)</t>
        </is>
      </c>
      <c r="AC1" s="1" t="inlineStr">
        <is>
          <t>Landing Height</t>
        </is>
      </c>
      <c r="AD1" s="1" t="inlineStr">
        <is>
          <t>Hang Time (Sec)</t>
        </is>
      </c>
      <c r="AE1" s="1" t="inlineStr">
        <is>
          <t>Dynamic Lie (Deg)</t>
        </is>
      </c>
    </row>
    <row r="2">
      <c r="A2" s="2" t="n">
        <v>46100.5418287037</v>
      </c>
      <c r="B2" s="3" t="n">
        <v>87.98</v>
      </c>
      <c r="C2" s="3" t="n">
        <v>121.57</v>
      </c>
      <c r="D2" s="4" t="n">
        <v>1.38</v>
      </c>
      <c r="E2" s="3" t="n">
        <v>183.27</v>
      </c>
      <c r="F2" s="3" t="n">
        <v>217.53</v>
      </c>
      <c r="G2" s="3" t="n">
        <v/>
      </c>
      <c r="H2" s="3" t="n">
        <v/>
      </c>
      <c r="I2" s="3" t="n">
        <v>3</v>
      </c>
      <c r="J2" s="3" t="n">
        <v>-3.51</v>
      </c>
      <c r="K2" s="3" t="n">
        <v>-6.51</v>
      </c>
      <c r="L2" s="3" t="n">
        <v>-2.89</v>
      </c>
      <c r="M2" s="5" t="n">
        <v>3</v>
      </c>
      <c r="N2" s="3" t="n">
        <v>17.03</v>
      </c>
      <c r="O2" s="3" t="n">
        <v>15.76</v>
      </c>
      <c r="P2" s="3" t="n">
        <v>15.44</v>
      </c>
      <c r="Q2" s="3" t="n">
        <v>1692.92</v>
      </c>
      <c r="R2" s="3" t="n">
        <v>-17.37</v>
      </c>
      <c r="S2" s="3" t="n">
        <v>-40.32</v>
      </c>
      <c r="T2" s="3" t="n">
        <v>-67.92</v>
      </c>
      <c r="U2" s="3" t="n">
        <v>-88.84</v>
      </c>
      <c r="V2" s="3" t="n">
        <v>57.03</v>
      </c>
      <c r="W2" s="3" t="n">
        <v>28.45</v>
      </c>
      <c r="X2" s="3" t="n">
        <v>4.41</v>
      </c>
      <c r="Y2" s="3" t="n">
        <v>59.17</v>
      </c>
      <c r="Z2" s="3" t="n">
        <v>1.31</v>
      </c>
      <c r="AA2" s="3" t="n">
        <v>-24.19</v>
      </c>
      <c r="AB2" s="5" t="n">
        <v>-4.41</v>
      </c>
      <c r="AC2" s="3" t="n">
        <v/>
      </c>
      <c r="AD2" s="3" t="n">
        <v>4.72</v>
      </c>
      <c r="AE2" s="3" t="n">
        <v/>
      </c>
    </row>
    <row r="3">
      <c r="A3" s="6" t="n">
        <v>46100.54336805556</v>
      </c>
      <c r="B3" s="7" t="n">
        <v>91.78</v>
      </c>
      <c r="C3" s="7" t="n">
        <v>133.35</v>
      </c>
      <c r="D3" s="8" t="n">
        <v>1.45</v>
      </c>
      <c r="E3" s="7" t="n">
        <v>214.06</v>
      </c>
      <c r="F3" s="7" t="n">
        <v>230.09</v>
      </c>
      <c r="G3" s="7" t="n">
        <v/>
      </c>
      <c r="H3" s="7" t="n">
        <v/>
      </c>
      <c r="I3" s="7" t="n">
        <v>-1</v>
      </c>
      <c r="J3" s="7" t="n">
        <v>0.45</v>
      </c>
      <c r="K3" s="7" t="n">
        <v>1.45</v>
      </c>
      <c r="L3" s="7" t="n">
        <v>0.21</v>
      </c>
      <c r="M3" s="9" t="n">
        <v>0.8</v>
      </c>
      <c r="N3" s="7" t="n">
        <v>17.26</v>
      </c>
      <c r="O3" s="7" t="n">
        <v>14.97</v>
      </c>
      <c r="P3" s="7" t="n">
        <v>16.58</v>
      </c>
      <c r="Q3" s="7" t="n">
        <v>3046.89</v>
      </c>
      <c r="R3" s="7" t="n">
        <v>3.16</v>
      </c>
      <c r="S3" s="7" t="n">
        <v>15.47</v>
      </c>
      <c r="T3" s="7" t="n">
        <v>17.82</v>
      </c>
      <c r="U3" s="7" t="n">
        <v>20.59</v>
      </c>
      <c r="V3" s="7" t="n">
        <v>90.09</v>
      </c>
      <c r="W3" s="7" t="n">
        <v>39.99</v>
      </c>
      <c r="X3" s="7" t="n">
        <v>-0.98</v>
      </c>
      <c r="Y3" s="7" t="n">
        <v>47.23</v>
      </c>
      <c r="Z3" s="7" t="n">
        <v>1.32</v>
      </c>
      <c r="AA3" s="7" t="n">
        <v>5.46</v>
      </c>
      <c r="AB3" s="9" t="n">
        <v>-2.05</v>
      </c>
      <c r="AC3" s="7" t="n">
        <v/>
      </c>
      <c r="AD3" s="7" t="n">
        <v>6.27</v>
      </c>
      <c r="AE3" s="7" t="n">
        <v/>
      </c>
    </row>
    <row r="4">
      <c r="A4" s="2" t="n">
        <v>46100.54221064815</v>
      </c>
      <c r="B4" s="3" t="n">
        <v>88.12</v>
      </c>
      <c r="C4" s="3" t="n">
        <v>128.21</v>
      </c>
      <c r="D4" s="4" t="n">
        <v>1.46</v>
      </c>
      <c r="E4" s="3" t="n">
        <v>199.89</v>
      </c>
      <c r="F4" s="3" t="n">
        <v>233.31</v>
      </c>
      <c r="G4" s="3" t="n">
        <v/>
      </c>
      <c r="H4" s="3" t="n">
        <v/>
      </c>
      <c r="I4" s="3" t="n">
        <v>0.2</v>
      </c>
      <c r="J4" s="3" t="n">
        <v>-3.35</v>
      </c>
      <c r="K4" s="3" t="n">
        <v>-3.55</v>
      </c>
      <c r="L4" s="3" t="n">
        <v>-2.97</v>
      </c>
      <c r="M4" s="5" t="n">
        <v>2.4</v>
      </c>
      <c r="N4" s="3" t="n">
        <v>16.19</v>
      </c>
      <c r="O4" s="3" t="n">
        <v>14.77</v>
      </c>
      <c r="P4" s="3" t="n">
        <v>14.31</v>
      </c>
      <c r="Q4" s="3" t="n">
        <v>1868.43</v>
      </c>
      <c r="R4" s="3" t="n">
        <v>-9.710000000000001</v>
      </c>
      <c r="S4" s="3" t="n">
        <v>-28.25</v>
      </c>
      <c r="T4" s="3" t="n">
        <v>-59.25</v>
      </c>
      <c r="U4" s="3" t="n">
        <v>-74.34</v>
      </c>
      <c r="V4" s="3" t="n">
        <v>62.67</v>
      </c>
      <c r="W4" s="3" t="n">
        <v>29.68</v>
      </c>
      <c r="X4" s="3" t="n">
        <v>1.53</v>
      </c>
      <c r="Y4" s="3" t="n">
        <v>52.62</v>
      </c>
      <c r="Z4" s="3" t="n">
        <v>1.3</v>
      </c>
      <c r="AA4" s="3" t="n">
        <v>-14</v>
      </c>
      <c r="AB4" s="5" t="n">
        <v>-3.82</v>
      </c>
      <c r="AC4" s="3" t="n">
        <v/>
      </c>
      <c r="AD4" s="3" t="n">
        <v>5.1</v>
      </c>
      <c r="AE4" s="3" t="n">
        <v/>
      </c>
    </row>
    <row r="5">
      <c r="A5" s="6" t="n">
        <v>46100.54298611111</v>
      </c>
      <c r="B5" s="7" t="n">
        <v>89.33</v>
      </c>
      <c r="C5" s="7" t="n">
        <v>128.83</v>
      </c>
      <c r="D5" s="8" t="n">
        <v>1.44</v>
      </c>
      <c r="E5" s="7" t="n">
        <v>199.28</v>
      </c>
      <c r="F5" s="7" t="n">
        <v>229.67</v>
      </c>
      <c r="G5" s="7" t="n">
        <v/>
      </c>
      <c r="H5" s="7" t="n">
        <v/>
      </c>
      <c r="I5" s="7" t="n">
        <v>5.3</v>
      </c>
      <c r="J5" s="7" t="n">
        <v>-3.24</v>
      </c>
      <c r="K5" s="7" t="n">
        <v>-8.539999999999999</v>
      </c>
      <c r="L5" s="7" t="n">
        <v>-2.1</v>
      </c>
      <c r="M5" s="9" t="n">
        <v>4.3</v>
      </c>
      <c r="N5" s="7" t="n">
        <v>16.47</v>
      </c>
      <c r="O5" s="7" t="n">
        <v>14.92</v>
      </c>
      <c r="P5" s="7" t="n">
        <v>14.83</v>
      </c>
      <c r="Q5" s="7" t="n">
        <v>2419</v>
      </c>
      <c r="R5" s="7" t="n">
        <v>-23.5</v>
      </c>
      <c r="S5" s="7" t="n">
        <v>-81.64</v>
      </c>
      <c r="T5" s="7" t="n">
        <v>-103.33</v>
      </c>
      <c r="U5" s="7" t="n">
        <v>-133.57</v>
      </c>
      <c r="V5" s="7" t="n">
        <v>67.22</v>
      </c>
      <c r="W5" s="7" t="n">
        <v>32.02</v>
      </c>
      <c r="X5" s="7" t="n">
        <v>7.73</v>
      </c>
      <c r="Y5" s="7" t="n">
        <v>60.38</v>
      </c>
      <c r="Z5" s="7" t="n">
        <v>1.44</v>
      </c>
      <c r="AA5" s="7" t="n">
        <v>-33.76</v>
      </c>
      <c r="AB5" s="9" t="n">
        <v>-4.8</v>
      </c>
      <c r="AC5" s="7" t="n">
        <v/>
      </c>
      <c r="AD5" s="7" t="n">
        <v>5.34</v>
      </c>
      <c r="AE5" s="7" t="n">
        <v/>
      </c>
    </row>
    <row r="6">
      <c r="A6" s="2" t="n">
        <v>46100.54258101852</v>
      </c>
      <c r="B6" s="3" t="n">
        <v>90.97</v>
      </c>
      <c r="C6" s="3" t="n">
        <v>131.95</v>
      </c>
      <c r="D6" s="4" t="n">
        <v>1.45</v>
      </c>
      <c r="E6" s="3" t="n">
        <v>195.48</v>
      </c>
      <c r="F6" s="3" t="n">
        <v>229.11</v>
      </c>
      <c r="G6" s="3" t="n">
        <v/>
      </c>
      <c r="H6" s="3" t="n">
        <v/>
      </c>
      <c r="I6" s="3" t="n">
        <v>2.1</v>
      </c>
      <c r="J6" s="3" t="n">
        <v>-5.4</v>
      </c>
      <c r="K6" s="3" t="n">
        <v>-7.5</v>
      </c>
      <c r="L6" s="3" t="n">
        <v>-4.43</v>
      </c>
      <c r="M6" s="5" t="n">
        <v>2.5</v>
      </c>
      <c r="N6" s="3" t="n">
        <v>13.5</v>
      </c>
      <c r="O6" s="3" t="n">
        <v>12.14</v>
      </c>
      <c r="P6" s="3" t="n">
        <v>13.28</v>
      </c>
      <c r="Q6" s="3" t="n">
        <v>2169</v>
      </c>
      <c r="R6" s="3" t="n">
        <v>-21.97</v>
      </c>
      <c r="S6" s="3" t="n">
        <v>-64.79000000000001</v>
      </c>
      <c r="T6" s="3" t="n">
        <v>-109.61</v>
      </c>
      <c r="U6" s="3" t="n">
        <v>-141.77</v>
      </c>
      <c r="V6" s="3" t="n">
        <v>51.46</v>
      </c>
      <c r="W6" s="3" t="n">
        <v>26.09</v>
      </c>
      <c r="X6" s="3" t="n">
        <v>3.98</v>
      </c>
      <c r="Y6" s="3" t="n">
        <v>54.9</v>
      </c>
      <c r="Z6" s="3" t="n">
        <v>1.48</v>
      </c>
      <c r="AA6" s="3" t="n">
        <v>-33.95</v>
      </c>
      <c r="AB6" s="5" t="n">
        <v>-3.15</v>
      </c>
      <c r="AC6" s="3" t="n">
        <v/>
      </c>
      <c r="AD6" s="3" t="n">
        <v>4.79</v>
      </c>
      <c r="AE6" s="3" t="n">
        <v/>
      </c>
    </row>
    <row r="7">
      <c r="A7" s="6" t="n">
        <v>46100.54372685185</v>
      </c>
      <c r="B7" s="7" t="n">
        <v>88.51000000000001</v>
      </c>
      <c r="C7" s="7" t="n">
        <v>129.41</v>
      </c>
      <c r="D7" s="8" t="n">
        <v>1.46</v>
      </c>
      <c r="E7" s="7" t="n">
        <v>206.52</v>
      </c>
      <c r="F7" s="7" t="n">
        <v>236.88</v>
      </c>
      <c r="G7" s="7" t="n">
        <v/>
      </c>
      <c r="H7" s="7" t="n">
        <v/>
      </c>
      <c r="I7" s="7" t="n">
        <v>1.2</v>
      </c>
      <c r="J7" s="7" t="n">
        <v>-1.93</v>
      </c>
      <c r="K7" s="7" t="n">
        <v>-3.13</v>
      </c>
      <c r="L7" s="7" t="n">
        <v>-1.55</v>
      </c>
      <c r="M7" s="9" t="n">
        <v>2.8</v>
      </c>
      <c r="N7" s="7" t="n">
        <v>16.86</v>
      </c>
      <c r="O7" s="7" t="n">
        <v>15.26</v>
      </c>
      <c r="P7" s="7" t="n">
        <v>14.34</v>
      </c>
      <c r="Q7" s="7" t="n">
        <v>2109</v>
      </c>
      <c r="R7" s="7" t="n">
        <v>-8.119999999999999</v>
      </c>
      <c r="S7" s="7" t="n">
        <v>-27.77</v>
      </c>
      <c r="T7" s="7" t="n">
        <v>-44.52</v>
      </c>
      <c r="U7" s="7" t="n">
        <v>-55.6</v>
      </c>
      <c r="V7" s="7" t="n">
        <v>70.86</v>
      </c>
      <c r="W7" s="7" t="n">
        <v>32.53</v>
      </c>
      <c r="X7" s="7" t="n">
        <v>2.88</v>
      </c>
      <c r="Y7" s="7" t="n">
        <v>53.9</v>
      </c>
      <c r="Z7" s="7" t="n">
        <v>1.32</v>
      </c>
      <c r="AA7" s="7" t="n">
        <v>-12.32</v>
      </c>
      <c r="AB7" s="9" t="n">
        <v>-4.45</v>
      </c>
      <c r="AC7" s="7" t="n">
        <v/>
      </c>
      <c r="AD7" s="7" t="n">
        <v>5.47</v>
      </c>
      <c r="AE7" s="7" t="n">
        <v/>
      </c>
    </row>
    <row r="9">
      <c r="A9" s="10" t="inlineStr">
        <is>
          <t>Pos Av</t>
        </is>
      </c>
      <c r="B9" s="11">
        <f>IF(COUNTIF(B2:B7,"&gt;0"),AVERAGEIF(B2:B7,"&gt;0"),"—")</f>
        <v/>
      </c>
      <c r="C9" s="11">
        <f>IF(COUNTIF(C2:C7,"&gt;0"),AVERAGEIF(C2:C7,"&gt;0"),"—")</f>
        <v/>
      </c>
      <c r="D9" s="12">
        <f>IF(COUNTIF(D2:D7,"&gt;0"),AVERAGEIF(D2:D7,"&gt;0"),"—")</f>
        <v/>
      </c>
      <c r="E9" s="11">
        <f>IF(COUNTIF(E2:E7,"&gt;0"),AVERAGEIF(E2:E7,"&gt;0"),"—")</f>
        <v/>
      </c>
      <c r="F9" s="11">
        <f>IF(COUNTIF(F2:F7,"&gt;0"),AVERAGEIF(F2:F7,"&gt;0"),"—")</f>
        <v/>
      </c>
      <c r="G9" s="11">
        <f>IF(COUNTIF(G2:G7,"&gt;0"),AVERAGEIF(G2:G7,"&gt;0"),"—")</f>
        <v/>
      </c>
      <c r="H9" s="11">
        <f>IF(COUNTIF(H2:H7,"&gt;0"),AVERAGEIF(H2:H7,"&gt;0"),"—")</f>
        <v/>
      </c>
      <c r="I9" s="11">
        <f>IF(COUNTIF(I2:I7,"&gt;0"),AVERAGEIF(I2:I7,"&gt;0"),"—")</f>
        <v/>
      </c>
      <c r="J9" s="11">
        <f>IF(COUNTIF(J2:J7,"&gt;0"),AVERAGEIF(J2:J7,"&gt;0"),"—")</f>
        <v/>
      </c>
      <c r="K9" s="11">
        <f>IF(COUNTIF(K2:K7,"&gt;0"),AVERAGEIF(K2:K7,"&gt;0"),"—")</f>
        <v/>
      </c>
      <c r="L9" s="11">
        <f>IF(COUNTIF(L2:L7,"&gt;0"),AVERAGEIF(L2:L7,"&gt;0"),"—")</f>
        <v/>
      </c>
      <c r="M9" s="13">
        <f>IF(COUNTIF(M2:M7,"&gt;0"),AVERAGEIF(M2:M7,"&gt;0"),"—")</f>
        <v/>
      </c>
      <c r="N9" s="11">
        <f>IF(COUNTIF(N2:N7,"&gt;0"),AVERAGEIF(N2:N7,"&gt;0"),"—")</f>
        <v/>
      </c>
      <c r="O9" s="11">
        <f>IF(COUNTIF(O2:O7,"&gt;0"),AVERAGEIF(O2:O7,"&gt;0"),"—")</f>
        <v/>
      </c>
      <c r="P9" s="11">
        <f>IF(COUNTIF(P2:P7,"&gt;0"),AVERAGEIF(P2:P7,"&gt;0"),"—")</f>
        <v/>
      </c>
      <c r="Q9" s="11">
        <f>IF(COUNTIF(Q2:Q7,"&gt;0"),AVERAGEIF(Q2:Q7,"&gt;0"),"—")</f>
        <v/>
      </c>
      <c r="R9" s="11">
        <f>IF(COUNTIF(R2:R7,"&gt;0"),AVERAGEIF(R2:R7,"&gt;0"),"—")</f>
        <v/>
      </c>
      <c r="S9" s="11">
        <f>IF(COUNTIF(S2:S7,"&gt;0"),AVERAGEIF(S2:S7,"&gt;0"),"—")</f>
        <v/>
      </c>
      <c r="T9" s="11">
        <f>IF(COUNTIF(T2:T7,"&gt;0"),AVERAGEIF(T2:T7,"&gt;0"),"—")</f>
        <v/>
      </c>
      <c r="U9" s="11">
        <f>IF(COUNTIF(U2:U7,"&gt;0"),AVERAGEIF(U2:U7,"&gt;0"),"—")</f>
        <v/>
      </c>
      <c r="V9" s="11">
        <f>IF(COUNTIF(V2:V7,"&gt;0"),AVERAGEIF(V2:V7,"&gt;0"),"—")</f>
        <v/>
      </c>
      <c r="W9" s="11">
        <f>IF(COUNTIF(W2:W7,"&gt;0"),AVERAGEIF(W2:W7,"&gt;0"),"—")</f>
        <v/>
      </c>
      <c r="X9" s="11">
        <f>IF(COUNTIF(X2:X7,"&gt;0"),AVERAGEIF(X2:X7,"&gt;0"),"—")</f>
        <v/>
      </c>
      <c r="Y9" s="11">
        <f>IF(COUNTIF(Y2:Y7,"&gt;0"),AVERAGEIF(Y2:Y7,"&gt;0"),"—")</f>
        <v/>
      </c>
      <c r="Z9" s="11">
        <f>IF(COUNTIF(Z2:Z7,"&gt;0"),AVERAGEIF(Z2:Z7,"&gt;0"),"—")</f>
        <v/>
      </c>
      <c r="AA9" s="11">
        <f>IF(COUNTIF(AA2:AA7,"&gt;0"),AVERAGEIF(AA2:AA7,"&gt;0"),"—")</f>
        <v/>
      </c>
      <c r="AB9" s="13">
        <f>IF(COUNTIF(AB2:AB7,"&gt;0"),AVERAGEIF(AB2:AB7,"&gt;0"),"—")</f>
        <v/>
      </c>
      <c r="AC9" s="11">
        <f>IF(COUNTIF(AC2:AC7,"&gt;0"),AVERAGEIF(AC2:AC7,"&gt;0"),"—")</f>
        <v/>
      </c>
      <c r="AD9" s="11">
        <f>IF(COUNTIF(AD2:AD7,"&gt;0"),AVERAGEIF(AD2:AD7,"&gt;0"),"—")</f>
        <v/>
      </c>
      <c r="AE9" s="11">
        <f>IF(COUNTIF(AE2:AE7,"&gt;0"),AVERAGEIF(AE2:AE7,"&gt;0"),"—")</f>
        <v/>
      </c>
    </row>
    <row r="10">
      <c r="A10" s="10" t="inlineStr">
        <is>
          <t>Neg Av</t>
        </is>
      </c>
      <c r="B10" s="11">
        <f>IF(COUNTIF(B2:B7,"&lt;0"),AVERAGEIF(B2:B7,"&lt;0"),"—")</f>
        <v/>
      </c>
      <c r="C10" s="11">
        <f>IF(COUNTIF(C2:C7,"&lt;0"),AVERAGEIF(C2:C7,"&lt;0"),"—")</f>
        <v/>
      </c>
      <c r="D10" s="12">
        <f>IF(COUNTIF(D2:D7,"&lt;0"),AVERAGEIF(D2:D7,"&lt;0"),"—")</f>
        <v/>
      </c>
      <c r="E10" s="11">
        <f>IF(COUNTIF(E2:E7,"&lt;0"),AVERAGEIF(E2:E7,"&lt;0"),"—")</f>
        <v/>
      </c>
      <c r="F10" s="11">
        <f>IF(COUNTIF(F2:F7,"&lt;0"),AVERAGEIF(F2:F7,"&lt;0"),"—")</f>
        <v/>
      </c>
      <c r="G10" s="11">
        <f>IF(COUNTIF(G2:G7,"&lt;0"),AVERAGEIF(G2:G7,"&lt;0"),"—")</f>
        <v/>
      </c>
      <c r="H10" s="11">
        <f>IF(COUNTIF(H2:H7,"&lt;0"),AVERAGEIF(H2:H7,"&lt;0"),"—")</f>
        <v/>
      </c>
      <c r="I10" s="11">
        <f>IF(COUNTIF(I2:I7,"&lt;0"),AVERAGEIF(I2:I7,"&lt;0"),"—")</f>
        <v/>
      </c>
      <c r="J10" s="11">
        <f>IF(COUNTIF(J2:J7,"&lt;0"),AVERAGEIF(J2:J7,"&lt;0"),"—")</f>
        <v/>
      </c>
      <c r="K10" s="11">
        <f>IF(COUNTIF(K2:K7,"&lt;0"),AVERAGEIF(K2:K7,"&lt;0"),"—")</f>
        <v/>
      </c>
      <c r="L10" s="11">
        <f>IF(COUNTIF(L2:L7,"&lt;0"),AVERAGEIF(L2:L7,"&lt;0"),"—")</f>
        <v/>
      </c>
      <c r="M10" s="13">
        <f>IF(COUNTIF(M2:M7,"&lt;0"),AVERAGEIF(M2:M7,"&lt;0"),"—")</f>
        <v/>
      </c>
      <c r="N10" s="11">
        <f>IF(COUNTIF(N2:N7,"&lt;0"),AVERAGEIF(N2:N7,"&lt;0"),"—")</f>
        <v/>
      </c>
      <c r="O10" s="11">
        <f>IF(COUNTIF(O2:O7,"&lt;0"),AVERAGEIF(O2:O7,"&lt;0"),"—")</f>
        <v/>
      </c>
      <c r="P10" s="11">
        <f>IF(COUNTIF(P2:P7,"&lt;0"),AVERAGEIF(P2:P7,"&lt;0"),"—")</f>
        <v/>
      </c>
      <c r="Q10" s="11">
        <f>IF(COUNTIF(Q2:Q7,"&lt;0"),AVERAGEIF(Q2:Q7,"&lt;0"),"—")</f>
        <v/>
      </c>
      <c r="R10" s="11">
        <f>IF(COUNTIF(R2:R7,"&lt;0"),AVERAGEIF(R2:R7,"&lt;0"),"—")</f>
        <v/>
      </c>
      <c r="S10" s="11">
        <f>IF(COUNTIF(S2:S7,"&lt;0"),AVERAGEIF(S2:S7,"&lt;0"),"—")</f>
        <v/>
      </c>
      <c r="T10" s="11">
        <f>IF(COUNTIF(T2:T7,"&lt;0"),AVERAGEIF(T2:T7,"&lt;0"),"—")</f>
        <v/>
      </c>
      <c r="U10" s="11">
        <f>IF(COUNTIF(U2:U7,"&lt;0"),AVERAGEIF(U2:U7,"&lt;0"),"—")</f>
        <v/>
      </c>
      <c r="V10" s="11">
        <f>IF(COUNTIF(V2:V7,"&lt;0"),AVERAGEIF(V2:V7,"&lt;0"),"—")</f>
        <v/>
      </c>
      <c r="W10" s="11">
        <f>IF(COUNTIF(W2:W7,"&lt;0"),AVERAGEIF(W2:W7,"&lt;0"),"—")</f>
        <v/>
      </c>
      <c r="X10" s="11">
        <f>IF(COUNTIF(X2:X7,"&lt;0"),AVERAGEIF(X2:X7,"&lt;0"),"—")</f>
        <v/>
      </c>
      <c r="Y10" s="11">
        <f>IF(COUNTIF(Y2:Y7,"&lt;0"),AVERAGEIF(Y2:Y7,"&lt;0"),"—")</f>
        <v/>
      </c>
      <c r="Z10" s="11">
        <f>IF(COUNTIF(Z2:Z7,"&lt;0"),AVERAGEIF(Z2:Z7,"&lt;0"),"—")</f>
        <v/>
      </c>
      <c r="AA10" s="11">
        <f>IF(COUNTIF(AA2:AA7,"&lt;0"),AVERAGEIF(AA2:AA7,"&lt;0"),"—")</f>
        <v/>
      </c>
      <c r="AB10" s="13">
        <f>IF(COUNTIF(AB2:AB7,"&lt;0"),AVERAGEIF(AB2:AB7,"&lt;0"),"—")</f>
        <v/>
      </c>
      <c r="AC10" s="11">
        <f>IF(COUNTIF(AC2:AC7,"&lt;0"),AVERAGEIF(AC2:AC7,"&lt;0"),"—")</f>
        <v/>
      </c>
      <c r="AD10" s="11">
        <f>IF(COUNTIF(AD2:AD7,"&lt;0"),AVERAGEIF(AD2:AD7,"&lt;0"),"—")</f>
        <v/>
      </c>
      <c r="AE10" s="11">
        <f>IF(COUNTIF(AE2:AE7,"&lt;0"),AVERAGEIF(AE2:AE7,"&lt;0"),"—")</f>
        <v/>
      </c>
    </row>
    <row r="11">
      <c r="A11" s="10" t="inlineStr">
        <is>
          <t>1 Av</t>
        </is>
      </c>
      <c r="B11" s="11">
        <f>IF(COUNTA(B2:B7),AVERAGE(B2:B7),"—")</f>
        <v/>
      </c>
      <c r="C11" s="11">
        <f>IF(COUNTA(C2:C7),AVERAGE(C2:C7),"—")</f>
        <v/>
      </c>
      <c r="D11" s="12">
        <f>IF(COUNTA(D2:D7),AVERAGE(D2:D7),"—")</f>
        <v/>
      </c>
      <c r="E11" s="11">
        <f>IF(COUNTA(E2:E7),AVERAGE(E2:E7),"—")</f>
        <v/>
      </c>
      <c r="F11" s="11">
        <f>IF(COUNTA(F2:F7),AVERAGE(F2:F7),"—")</f>
        <v/>
      </c>
      <c r="G11" s="11">
        <f>IF(COUNTA(G2:G7),AVERAGE(G2:G7),"—")</f>
        <v/>
      </c>
      <c r="H11" s="11">
        <f>IF(COUNTA(H2:H7),AVERAGE(H2:H7),"—")</f>
        <v/>
      </c>
      <c r="I11" s="11">
        <f>IF(COUNTA(I2:I7),AVERAGE(I2:I7),"—")</f>
        <v/>
      </c>
      <c r="J11" s="11">
        <f>IF(COUNTA(J2:J7),AVERAGE(J2:J7),"—")</f>
        <v/>
      </c>
      <c r="K11" s="11">
        <f>IF(COUNTA(K2:K7),AVERAGE(K2:K7),"—")</f>
        <v/>
      </c>
      <c r="L11" s="11">
        <f>IF(COUNTA(L2:L7),AVERAGE(L2:L7),"—")</f>
        <v/>
      </c>
      <c r="M11" s="13">
        <f>IF(COUNTA(M2:M7),AVERAGE(M2:M7),"—")</f>
        <v/>
      </c>
      <c r="N11" s="11">
        <f>IF(COUNTA(N2:N7),AVERAGE(N2:N7),"—")</f>
        <v/>
      </c>
      <c r="O11" s="11">
        <f>IF(COUNTA(O2:O7),AVERAGE(O2:O7),"—")</f>
        <v/>
      </c>
      <c r="P11" s="11">
        <f>IF(COUNTA(P2:P7),AVERAGE(P2:P7),"—")</f>
        <v/>
      </c>
      <c r="Q11" s="11">
        <f>IF(COUNTA(Q2:Q7),AVERAGE(Q2:Q7),"—")</f>
        <v/>
      </c>
      <c r="R11" s="11">
        <f>IF(COUNTA(R2:R7),AVERAGE(R2:R7),"—")</f>
        <v/>
      </c>
      <c r="S11" s="11">
        <f>IF(COUNTA(S2:S7),AVERAGE(S2:S7),"—")</f>
        <v/>
      </c>
      <c r="T11" s="11">
        <f>IF(COUNTA(T2:T7),AVERAGE(T2:T7),"—")</f>
        <v/>
      </c>
      <c r="U11" s="11">
        <f>IF(COUNTA(U2:U7),AVERAGE(U2:U7),"—")</f>
        <v/>
      </c>
      <c r="V11" s="11">
        <f>IF(COUNTA(V2:V7),AVERAGE(V2:V7),"—")</f>
        <v/>
      </c>
      <c r="W11" s="11">
        <f>IF(COUNTA(W2:W7),AVERAGE(W2:W7),"—")</f>
        <v/>
      </c>
      <c r="X11" s="11">
        <f>IF(COUNTA(X2:X7),AVERAGE(X2:X7),"—")</f>
        <v/>
      </c>
      <c r="Y11" s="11">
        <f>IF(COUNTA(Y2:Y7),AVERAGE(Y2:Y7),"—")</f>
        <v/>
      </c>
      <c r="Z11" s="11">
        <f>IF(COUNTA(Z2:Z7),AVERAGE(Z2:Z7),"—")</f>
        <v/>
      </c>
      <c r="AA11" s="11">
        <f>IF(COUNTA(AA2:AA7),AVERAGE(AA2:AA7),"—")</f>
        <v/>
      </c>
      <c r="AB11" s="13">
        <f>IF(COUNTA(AB2:AB7),AVERAGE(AB2:AB7),"—")</f>
        <v/>
      </c>
      <c r="AC11" s="11">
        <f>IF(COUNTA(AC2:AC7),AVERAGE(AC2:AC7),"—")</f>
        <v/>
      </c>
      <c r="AD11" s="11">
        <f>IF(COUNTA(AD2:AD7),AVERAGE(AD2:AD7),"—")</f>
        <v/>
      </c>
      <c r="AE11" s="11">
        <f>IF(COUNTA(AE2:AE7),AVERAGE(AE2:AE7),"—")</f>
        <v/>
      </c>
    </row>
    <row r="12">
      <c r="A12" s="10" t="inlineStr">
        <is>
          <t>Spread</t>
        </is>
      </c>
      <c r="B12" s="11">
        <f>IF(AND(ISNUMBER(B9),ISNUMBER(B10)),B9-B10,"—")</f>
        <v/>
      </c>
      <c r="C12" s="11">
        <f>IF(AND(ISNUMBER(C9),ISNUMBER(C10)),C9-C10,"—")</f>
        <v/>
      </c>
      <c r="D12" s="12">
        <f>IF(AND(ISNUMBER(D9),ISNUMBER(D10)),D9-D10,"—")</f>
        <v/>
      </c>
      <c r="E12" s="11">
        <f>IF(AND(ISNUMBER(E9),ISNUMBER(E10)),E9-E10,"—")</f>
        <v/>
      </c>
      <c r="F12" s="11">
        <f>IF(AND(ISNUMBER(F9),ISNUMBER(F10)),F9-F10,"—")</f>
        <v/>
      </c>
      <c r="G12" s="11">
        <f>IF(AND(ISNUMBER(G9),ISNUMBER(G10)),G9-G10,"—")</f>
        <v/>
      </c>
      <c r="H12" s="11">
        <f>IF(AND(ISNUMBER(H9),ISNUMBER(H10)),H9-H10,"—")</f>
        <v/>
      </c>
      <c r="I12" s="11">
        <f>IF(AND(ISNUMBER(I9),ISNUMBER(I10)),I9-I10,"—")</f>
        <v/>
      </c>
      <c r="J12" s="11">
        <f>IF(AND(ISNUMBER(J9),ISNUMBER(J10)),J9-J10,"—")</f>
        <v/>
      </c>
      <c r="K12" s="11">
        <f>IF(AND(ISNUMBER(K9),ISNUMBER(K10)),K9-K10,"—")</f>
        <v/>
      </c>
      <c r="L12" s="11">
        <f>IF(AND(ISNUMBER(L9),ISNUMBER(L10)),L9-L10,"—")</f>
        <v/>
      </c>
      <c r="M12" s="13">
        <f>IF(AND(ISNUMBER(M9),ISNUMBER(M10)),M9-M10,"—")</f>
        <v/>
      </c>
      <c r="N12" s="11">
        <f>IF(AND(ISNUMBER(N9),ISNUMBER(N10)),N9-N10,"—")</f>
        <v/>
      </c>
      <c r="O12" s="11">
        <f>IF(AND(ISNUMBER(O9),ISNUMBER(O10)),O9-O10,"—")</f>
        <v/>
      </c>
      <c r="P12" s="11">
        <f>IF(AND(ISNUMBER(P9),ISNUMBER(P10)),P9-P10,"—")</f>
        <v/>
      </c>
      <c r="Q12" s="11">
        <f>IF(AND(ISNUMBER(Q9),ISNUMBER(Q10)),Q9-Q10,"—")</f>
        <v/>
      </c>
      <c r="R12" s="11">
        <f>IF(AND(ISNUMBER(R9),ISNUMBER(R10)),R9-R10,"—")</f>
        <v/>
      </c>
      <c r="S12" s="11">
        <f>IF(AND(ISNUMBER(S9),ISNUMBER(S10)),S9-S10,"—")</f>
        <v/>
      </c>
      <c r="T12" s="11">
        <f>IF(AND(ISNUMBER(T9),ISNUMBER(T10)),T9-T10,"—")</f>
        <v/>
      </c>
      <c r="U12" s="11">
        <f>IF(AND(ISNUMBER(U9),ISNUMBER(U10)),U9-U10,"—")</f>
        <v/>
      </c>
      <c r="V12" s="11">
        <f>IF(AND(ISNUMBER(V9),ISNUMBER(V10)),V9-V10,"—")</f>
        <v/>
      </c>
      <c r="W12" s="11">
        <f>IF(AND(ISNUMBER(W9),ISNUMBER(W10)),W9-W10,"—")</f>
        <v/>
      </c>
      <c r="X12" s="11">
        <f>IF(AND(ISNUMBER(X9),ISNUMBER(X10)),X9-X10,"—")</f>
        <v/>
      </c>
      <c r="Y12" s="11">
        <f>IF(AND(ISNUMBER(Y9),ISNUMBER(Y10)),Y9-Y10,"—")</f>
        <v/>
      </c>
      <c r="Z12" s="11">
        <f>IF(AND(ISNUMBER(Z9),ISNUMBER(Z10)),Z9-Z10,"—")</f>
        <v/>
      </c>
      <c r="AA12" s="11">
        <f>IF(AND(ISNUMBER(AA9),ISNUMBER(AA10)),AA9-AA10,"—")</f>
        <v/>
      </c>
      <c r="AB12" s="13">
        <f>IF(AND(ISNUMBER(AB9),ISNUMBER(AB10)),AB9-AB10,"—")</f>
        <v/>
      </c>
      <c r="AC12" s="11">
        <f>IF(AND(ISNUMBER(AC9),ISNUMBER(AC10)),AC9-AC10,"—")</f>
        <v/>
      </c>
      <c r="AD12" s="11">
        <f>IF(AND(ISNUMBER(AD9),ISNUMBER(AD10)),AD9-AD10,"—")</f>
        <v/>
      </c>
      <c r="AE12" s="11">
        <f>IF(AND(ISNUMBER(AE9),ISNUMBER(AE10)),AE9-AE10,"—")</f>
        <v/>
      </c>
    </row>
    <row r="13">
      <c r="A13" s="10" t="inlineStr">
        <is>
          <t>% Pos</t>
        </is>
      </c>
      <c r="B13" s="14">
        <f>IF(COUNTA(B2:B7),COUNTIF(B2:B7,"&gt;0")/COUNTA(B2:B7),"—")</f>
        <v/>
      </c>
      <c r="C13" s="14">
        <f>IF(COUNTA(C2:C7),COUNTIF(C2:C7,"&gt;0")/COUNTA(C2:C7),"—")</f>
        <v/>
      </c>
      <c r="D13" s="14">
        <f>IF(COUNTA(D2:D7),COUNTIF(D2:D7,"&gt;0")/COUNTA(D2:D7),"—")</f>
        <v/>
      </c>
      <c r="E13" s="14">
        <f>IF(COUNTA(E2:E7),COUNTIF(E2:E7,"&gt;0")/COUNTA(E2:E7),"—")</f>
        <v/>
      </c>
      <c r="F13" s="14">
        <f>IF(COUNTA(F2:F7),COUNTIF(F2:F7,"&gt;0")/COUNTA(F2:F7),"—")</f>
        <v/>
      </c>
      <c r="G13" s="14">
        <f>IF(COUNTA(G2:G7),COUNTIF(G2:G7,"&gt;0")/COUNTA(G2:G7),"—")</f>
        <v/>
      </c>
      <c r="H13" s="14">
        <f>IF(COUNTA(H2:H7),COUNTIF(H2:H7,"&gt;0")/COUNTA(H2:H7),"—")</f>
        <v/>
      </c>
      <c r="I13" s="14">
        <f>IF(COUNTA(I2:I7),COUNTIF(I2:I7,"&gt;0")/COUNTA(I2:I7),"—")</f>
        <v/>
      </c>
      <c r="J13" s="14">
        <f>IF(COUNTA(J2:J7),COUNTIF(J2:J7,"&gt;0")/COUNTA(J2:J7),"—")</f>
        <v/>
      </c>
      <c r="K13" s="14">
        <f>IF(COUNTA(K2:K7),COUNTIF(K2:K7,"&gt;0")/COUNTA(K2:K7),"—")</f>
        <v/>
      </c>
      <c r="L13" s="14">
        <f>IF(COUNTA(L2:L7),COUNTIF(L2:L7,"&gt;0")/COUNTA(L2:L7),"—")</f>
        <v/>
      </c>
      <c r="M13" s="14">
        <f>IF(COUNTA(M2:M7),COUNTIF(M2:M7,"&gt;0")/COUNTA(M2:M7),"—")</f>
        <v/>
      </c>
      <c r="N13" s="14">
        <f>IF(COUNTA(N2:N7),COUNTIF(N2:N7,"&gt;0")/COUNTA(N2:N7),"—")</f>
        <v/>
      </c>
      <c r="O13" s="14">
        <f>IF(COUNTA(O2:O7),COUNTIF(O2:O7,"&gt;0")/COUNTA(O2:O7),"—")</f>
        <v/>
      </c>
      <c r="P13" s="14">
        <f>IF(COUNTA(P2:P7),COUNTIF(P2:P7,"&gt;0")/COUNTA(P2:P7),"—")</f>
        <v/>
      </c>
      <c r="Q13" s="14">
        <f>IF(COUNTA(Q2:Q7),COUNTIF(Q2:Q7,"&gt;0")/COUNTA(Q2:Q7),"—")</f>
        <v/>
      </c>
      <c r="R13" s="14">
        <f>IF(COUNTA(R2:R7),COUNTIF(R2:R7,"&gt;0")/COUNTA(R2:R7),"—")</f>
        <v/>
      </c>
      <c r="S13" s="14">
        <f>IF(COUNTA(S2:S7),COUNTIF(S2:S7,"&gt;0")/COUNTA(S2:S7),"—")</f>
        <v/>
      </c>
      <c r="T13" s="14">
        <f>IF(COUNTA(T2:T7),COUNTIF(T2:T7,"&gt;0")/COUNTA(T2:T7),"—")</f>
        <v/>
      </c>
      <c r="U13" s="14">
        <f>IF(COUNTA(U2:U7),COUNTIF(U2:U7,"&gt;0")/COUNTA(U2:U7),"—")</f>
        <v/>
      </c>
      <c r="V13" s="14">
        <f>IF(COUNTA(V2:V7),COUNTIF(V2:V7,"&gt;0")/COUNTA(V2:V7),"—")</f>
        <v/>
      </c>
      <c r="W13" s="14">
        <f>IF(COUNTA(W2:W7),COUNTIF(W2:W7,"&gt;0")/COUNTA(W2:W7),"—")</f>
        <v/>
      </c>
      <c r="X13" s="14">
        <f>IF(COUNTA(X2:X7),COUNTIF(X2:X7,"&gt;0")/COUNTA(X2:X7),"—")</f>
        <v/>
      </c>
      <c r="Y13" s="14">
        <f>IF(COUNTA(Y2:Y7),COUNTIF(Y2:Y7,"&gt;0")/COUNTA(Y2:Y7),"—")</f>
        <v/>
      </c>
      <c r="Z13" s="14">
        <f>IF(COUNTA(Z2:Z7),COUNTIF(Z2:Z7,"&gt;0")/COUNTA(Z2:Z7),"—")</f>
        <v/>
      </c>
      <c r="AA13" s="14">
        <f>IF(COUNTA(AA2:AA7),COUNTIF(AA2:AA7,"&gt;0")/COUNTA(AA2:AA7),"—")</f>
        <v/>
      </c>
      <c r="AB13" s="14">
        <f>IF(COUNTA(AB2:AB7),COUNTIF(AB2:AB7,"&gt;0")/COUNTA(AB2:AB7),"—")</f>
        <v/>
      </c>
      <c r="AC13" s="14">
        <f>IF(COUNTA(AC2:AC7),COUNTIF(AC2:AC7,"&gt;0")/COUNTA(AC2:AC7),"—")</f>
        <v/>
      </c>
      <c r="AD13" s="14">
        <f>IF(COUNTA(AD2:AD7),COUNTIF(AD2:AD7,"&gt;0")/COUNTA(AD2:AD7),"—")</f>
        <v/>
      </c>
      <c r="AE13" s="14">
        <f>IF(COUNTA(AE2:AE7),COUNTIF(AE2:AE7,"&gt;0")/COUNTA(AE2:AE7),"—")</f>
        <v/>
      </c>
    </row>
    <row r="14">
      <c r="A14" s="10" t="inlineStr">
        <is>
          <t>% Neg</t>
        </is>
      </c>
      <c r="B14" s="14">
        <f>IF(COUNTA(B2:B7),COUNTIF(B2:B7,"&lt;0")/COUNTA(B2:B7),"—")</f>
        <v/>
      </c>
      <c r="C14" s="14">
        <f>IF(COUNTA(C2:C7),COUNTIF(C2:C7,"&lt;0")/COUNTA(C2:C7),"—")</f>
        <v/>
      </c>
      <c r="D14" s="14">
        <f>IF(COUNTA(D2:D7),COUNTIF(D2:D7,"&lt;0")/COUNTA(D2:D7),"—")</f>
        <v/>
      </c>
      <c r="E14" s="14">
        <f>IF(COUNTA(E2:E7),COUNTIF(E2:E7,"&lt;0")/COUNTA(E2:E7),"—")</f>
        <v/>
      </c>
      <c r="F14" s="14">
        <f>IF(COUNTA(F2:F7),COUNTIF(F2:F7,"&lt;0")/COUNTA(F2:F7),"—")</f>
        <v/>
      </c>
      <c r="G14" s="14">
        <f>IF(COUNTA(G2:G7),COUNTIF(G2:G7,"&lt;0")/COUNTA(G2:G7),"—")</f>
        <v/>
      </c>
      <c r="H14" s="14">
        <f>IF(COUNTA(H2:H7),COUNTIF(H2:H7,"&lt;0")/COUNTA(H2:H7),"—")</f>
        <v/>
      </c>
      <c r="I14" s="14">
        <f>IF(COUNTA(I2:I7),COUNTIF(I2:I7,"&lt;0")/COUNTA(I2:I7),"—")</f>
        <v/>
      </c>
      <c r="J14" s="14">
        <f>IF(COUNTA(J2:J7),COUNTIF(J2:J7,"&lt;0")/COUNTA(J2:J7),"—")</f>
        <v/>
      </c>
      <c r="K14" s="14">
        <f>IF(COUNTA(K2:K7),COUNTIF(K2:K7,"&lt;0")/COUNTA(K2:K7),"—")</f>
        <v/>
      </c>
      <c r="L14" s="14">
        <f>IF(COUNTA(L2:L7),COUNTIF(L2:L7,"&lt;0")/COUNTA(L2:L7),"—")</f>
        <v/>
      </c>
      <c r="M14" s="14">
        <f>IF(COUNTA(M2:M7),COUNTIF(M2:M7,"&lt;0")/COUNTA(M2:M7),"—")</f>
        <v/>
      </c>
      <c r="N14" s="14">
        <f>IF(COUNTA(N2:N7),COUNTIF(N2:N7,"&lt;0")/COUNTA(N2:N7),"—")</f>
        <v/>
      </c>
      <c r="O14" s="14">
        <f>IF(COUNTA(O2:O7),COUNTIF(O2:O7,"&lt;0")/COUNTA(O2:O7),"—")</f>
        <v/>
      </c>
      <c r="P14" s="14">
        <f>IF(COUNTA(P2:P7),COUNTIF(P2:P7,"&lt;0")/COUNTA(P2:P7),"—")</f>
        <v/>
      </c>
      <c r="Q14" s="14">
        <f>IF(COUNTA(Q2:Q7),COUNTIF(Q2:Q7,"&lt;0")/COUNTA(Q2:Q7),"—")</f>
        <v/>
      </c>
      <c r="R14" s="14">
        <f>IF(COUNTA(R2:R7),COUNTIF(R2:R7,"&lt;0")/COUNTA(R2:R7),"—")</f>
        <v/>
      </c>
      <c r="S14" s="14">
        <f>IF(COUNTA(S2:S7),COUNTIF(S2:S7,"&lt;0")/COUNTA(S2:S7),"—")</f>
        <v/>
      </c>
      <c r="T14" s="14">
        <f>IF(COUNTA(T2:T7),COUNTIF(T2:T7,"&lt;0")/COUNTA(T2:T7),"—")</f>
        <v/>
      </c>
      <c r="U14" s="14">
        <f>IF(COUNTA(U2:U7),COUNTIF(U2:U7,"&lt;0")/COUNTA(U2:U7),"—")</f>
        <v/>
      </c>
      <c r="V14" s="14">
        <f>IF(COUNTA(V2:V7),COUNTIF(V2:V7,"&lt;0")/COUNTA(V2:V7),"—")</f>
        <v/>
      </c>
      <c r="W14" s="14">
        <f>IF(COUNTA(W2:W7),COUNTIF(W2:W7,"&lt;0")/COUNTA(W2:W7),"—")</f>
        <v/>
      </c>
      <c r="X14" s="14">
        <f>IF(COUNTA(X2:X7),COUNTIF(X2:X7,"&lt;0")/COUNTA(X2:X7),"—")</f>
        <v/>
      </c>
      <c r="Y14" s="14">
        <f>IF(COUNTA(Y2:Y7),COUNTIF(Y2:Y7,"&lt;0")/COUNTA(Y2:Y7),"—")</f>
        <v/>
      </c>
      <c r="Z14" s="14">
        <f>IF(COUNTA(Z2:Z7),COUNTIF(Z2:Z7,"&lt;0")/COUNTA(Z2:Z7),"—")</f>
        <v/>
      </c>
      <c r="AA14" s="14">
        <f>IF(COUNTA(AA2:AA7),COUNTIF(AA2:AA7,"&lt;0")/COUNTA(AA2:AA7),"—")</f>
        <v/>
      </c>
      <c r="AB14" s="14">
        <f>IF(COUNTA(AB2:AB7),COUNTIF(AB2:AB7,"&lt;0")/COUNTA(AB2:AB7),"—")</f>
        <v/>
      </c>
      <c r="AC14" s="14">
        <f>IF(COUNTA(AC2:AC7),COUNTIF(AC2:AC7,"&lt;0")/COUNTA(AC2:AC7),"—")</f>
        <v/>
      </c>
      <c r="AD14" s="14">
        <f>IF(COUNTA(AD2:AD7),COUNTIF(AD2:AD7,"&lt;0")/COUNTA(AD2:AD7),"—")</f>
        <v/>
      </c>
      <c r="AE14" s="14">
        <f>IF(COUNTA(AE2:AE7),COUNTIF(AE2:AE7,"&lt;0")/COUNTA(AE2:AE7),"—")</f>
        <v/>
      </c>
    </row>
  </sheetData>
  <autoFilter ref="A1:AE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.3" customWidth="1" min="1" max="1"/>
  </cols>
  <sheetData>
    <row r="1" ht="70" customHeight="1">
      <c r="A1" s="1" t="inlineStr">
        <is>
          <t>Time</t>
        </is>
      </c>
      <c r="B1" s="1" t="inlineStr">
        <is>
          <t>Club Speed (Mph)</t>
        </is>
      </c>
      <c r="C1" s="1" t="inlineStr">
        <is>
          <t>Ball Speed (Mph)</t>
        </is>
      </c>
      <c r="D1" s="1" t="inlineStr">
        <is>
          <t>Smash Factor</t>
        </is>
      </c>
      <c r="E1" s="1" t="inlineStr">
        <is>
          <t>Carry (Yds)</t>
        </is>
      </c>
      <c r="F1" s="1" t="inlineStr">
        <is>
          <t>Total (Yds)</t>
        </is>
      </c>
      <c r="G1" s="1" t="inlineStr">
        <is>
          <t>Impact Height (mm)</t>
        </is>
      </c>
      <c r="H1" s="1" t="inlineStr">
        <is>
          <t>Impact Offset (mm)</t>
        </is>
      </c>
      <c r="I1" s="1" t="inlineStr">
        <is>
          <t>Club Path (Deg)</t>
        </is>
      </c>
      <c r="J1" s="1" t="inlineStr">
        <is>
          <t>Face Angle (Deg)</t>
        </is>
      </c>
      <c r="K1" s="1" t="inlineStr">
        <is>
          <t>Face To Path (Deg)</t>
        </is>
      </c>
      <c r="L1" s="1" t="inlineStr">
        <is>
          <t>Launch Direction (Deg)</t>
        </is>
      </c>
      <c r="M1" s="1" t="inlineStr">
        <is>
          <t>Attack Angle (Deg)</t>
        </is>
      </c>
      <c r="N1" s="1" t="inlineStr">
        <is>
          <t>Dynamic Loft (Deg)</t>
        </is>
      </c>
      <c r="O1" s="1" t="inlineStr">
        <is>
          <t>Launch Angle (Deg)</t>
        </is>
      </c>
      <c r="P1" s="1" t="inlineStr">
        <is>
          <t>Spin Loft (Deg)</t>
        </is>
      </c>
      <c r="Q1" s="1" t="inlineStr">
        <is>
          <t>Spin Rate (Rpm)</t>
        </is>
      </c>
      <c r="R1" s="1" t="inlineStr">
        <is>
          <t>Spin Axis (Deg)</t>
        </is>
      </c>
      <c r="S1" s="1" t="inlineStr">
        <is>
          <t>Curve (Ft)</t>
        </is>
      </c>
      <c r="T1" s="1" t="inlineStr">
        <is>
          <t>Carry Side (Ft)</t>
        </is>
      </c>
      <c r="U1" s="1" t="inlineStr">
        <is>
          <t>Total Side (Ft)</t>
        </is>
      </c>
      <c r="V1" s="1" t="inlineStr">
        <is>
          <t>Max Height (Ft)</t>
        </is>
      </c>
      <c r="W1" s="1" t="inlineStr">
        <is>
          <t>Landing Angle (Deg)</t>
        </is>
      </c>
      <c r="X1" s="1" t="inlineStr">
        <is>
          <t>Swing Direction (Deg)</t>
        </is>
      </c>
      <c r="Y1" s="1" t="inlineStr">
        <is>
          <t>Swing Plane (Deg)</t>
        </is>
      </c>
      <c r="Z1" s="1" t="inlineStr">
        <is>
          <t>Swing Radius</t>
        </is>
      </c>
      <c r="AA1" s="1" t="inlineStr">
        <is>
          <t>DPlane Tilt</t>
        </is>
      </c>
      <c r="AB1" s="1" t="inlineStr">
        <is>
          <t>Low Point (In)</t>
        </is>
      </c>
      <c r="AC1" s="1" t="inlineStr">
        <is>
          <t>Landing Height</t>
        </is>
      </c>
      <c r="AD1" s="1" t="inlineStr">
        <is>
          <t>Hang Time (Sec)</t>
        </is>
      </c>
      <c r="AE1" s="1" t="inlineStr">
        <is>
          <t>Dynamic Lie (Deg)</t>
        </is>
      </c>
    </row>
    <row r="2">
      <c r="A2" s="2" t="n">
        <v>46100.53701388889</v>
      </c>
      <c r="B2" s="3" t="n">
        <v>89.40000000000001</v>
      </c>
      <c r="C2" s="3" t="n">
        <v>132.72</v>
      </c>
      <c r="D2" s="4" t="n">
        <v>1.48</v>
      </c>
      <c r="E2" s="3" t="n">
        <v>211.97</v>
      </c>
      <c r="F2" s="3" t="n">
        <v>242.01</v>
      </c>
      <c r="G2" s="3" t="n">
        <v/>
      </c>
      <c r="H2" s="3" t="n">
        <v/>
      </c>
      <c r="I2" s="3" t="n">
        <v>1.7</v>
      </c>
      <c r="J2" s="3" t="n">
        <v>2.07</v>
      </c>
      <c r="K2" s="3" t="n">
        <v>0.37</v>
      </c>
      <c r="L2" s="3" t="n">
        <v>2.02</v>
      </c>
      <c r="M2" s="5" t="n">
        <v>1.5</v>
      </c>
      <c r="N2" s="3" t="n">
        <v>15.61</v>
      </c>
      <c r="O2" s="3" t="n">
        <v>13.87</v>
      </c>
      <c r="P2" s="3" t="n">
        <v>14.07</v>
      </c>
      <c r="Q2" s="3" t="n">
        <v>2297.43</v>
      </c>
      <c r="R2" s="3" t="n">
        <v>1.52</v>
      </c>
      <c r="S2" s="3" t="n">
        <v>5.74</v>
      </c>
      <c r="T2" s="3" t="n">
        <v>28.11</v>
      </c>
      <c r="U2" s="3" t="n">
        <v>33.02</v>
      </c>
      <c r="V2" s="3" t="n">
        <v>69.94</v>
      </c>
      <c r="W2" s="3" t="n">
        <v>32.36</v>
      </c>
      <c r="X2" s="3" t="n">
        <v>2.65</v>
      </c>
      <c r="Y2" s="3" t="n">
        <v>56.47</v>
      </c>
      <c r="Z2" s="3" t="n">
        <v>1.44</v>
      </c>
      <c r="AA2" s="3" t="n">
        <v>1.79</v>
      </c>
      <c r="AB2" s="5" t="n">
        <v>-1.85</v>
      </c>
      <c r="AC2" s="3" t="n">
        <v/>
      </c>
      <c r="AD2" s="3" t="n">
        <v>5.57</v>
      </c>
      <c r="AE2" s="3" t="n">
        <v/>
      </c>
    </row>
    <row r="3">
      <c r="A3" s="6" t="n">
        <v>46100.53807870371</v>
      </c>
      <c r="B3" s="7" t="n">
        <v>90.51000000000001</v>
      </c>
      <c r="C3" s="7" t="n">
        <v>130.87</v>
      </c>
      <c r="D3" s="8" t="n">
        <v>1.45</v>
      </c>
      <c r="E3" s="7" t="n">
        <v>202.75</v>
      </c>
      <c r="F3" s="7" t="n">
        <v>227.66</v>
      </c>
      <c r="G3" s="7" t="n">
        <v/>
      </c>
      <c r="H3" s="7" t="n">
        <v/>
      </c>
      <c r="I3" s="7" t="n">
        <v>0</v>
      </c>
      <c r="J3" s="7" t="n">
        <v>-2.48</v>
      </c>
      <c r="K3" s="7" t="n">
        <v>-2.48</v>
      </c>
      <c r="L3" s="7" t="n">
        <v>-1.96</v>
      </c>
      <c r="M3" s="9" t="n">
        <v>2.8</v>
      </c>
      <c r="N3" s="7" t="n">
        <v>14.49</v>
      </c>
      <c r="O3" s="7" t="n">
        <v>12.15</v>
      </c>
      <c r="P3" s="7" t="n">
        <v>11.86</v>
      </c>
      <c r="Q3" s="7" t="n">
        <v>3107.2</v>
      </c>
      <c r="R3" s="7" t="n">
        <v>-6.15</v>
      </c>
      <c r="S3" s="7" t="n">
        <v>-26.79</v>
      </c>
      <c r="T3" s="7" t="n">
        <v>-47.52</v>
      </c>
      <c r="U3" s="7" t="n">
        <v>-57.31</v>
      </c>
      <c r="V3" s="7" t="n">
        <v>68.25</v>
      </c>
      <c r="W3" s="7" t="n">
        <v>34.37</v>
      </c>
      <c r="X3" s="7" t="n">
        <v>2.41</v>
      </c>
      <c r="Y3" s="7" t="n">
        <v>44.94</v>
      </c>
      <c r="Z3" s="7" t="n">
        <v>1.31</v>
      </c>
      <c r="AA3" s="7" t="n">
        <v>-11.86</v>
      </c>
      <c r="AB3" s="9" t="n">
        <v>-4.88</v>
      </c>
      <c r="AC3" s="7" t="n">
        <v/>
      </c>
      <c r="AD3" s="7" t="n">
        <v>5.68</v>
      </c>
      <c r="AE3" s="7" t="n">
        <v/>
      </c>
    </row>
    <row r="4">
      <c r="A4" s="2" t="n">
        <v>46100.54049768519</v>
      </c>
      <c r="B4" s="3" t="n">
        <v>88.95</v>
      </c>
      <c r="C4" s="3" t="n">
        <v>129.89</v>
      </c>
      <c r="D4" s="4" t="n">
        <v>1.46</v>
      </c>
      <c r="E4" s="3" t="n">
        <v>212.68</v>
      </c>
      <c r="F4" s="3" t="n">
        <v>230.43</v>
      </c>
      <c r="G4" s="3" t="n">
        <v/>
      </c>
      <c r="H4" s="3" t="n">
        <v/>
      </c>
      <c r="I4" s="3" t="n">
        <v>4.1</v>
      </c>
      <c r="J4" s="3" t="n">
        <v>2.33</v>
      </c>
      <c r="K4" s="3" t="n">
        <v>-1.77</v>
      </c>
      <c r="L4" s="3" t="n">
        <v>2.51</v>
      </c>
      <c r="M4" s="5" t="n">
        <v>-1.9</v>
      </c>
      <c r="N4" s="3" t="n">
        <v>19.29</v>
      </c>
      <c r="O4" s="3" t="n">
        <v>17.3</v>
      </c>
      <c r="P4" s="3" t="n">
        <v>21.44</v>
      </c>
      <c r="Q4" s="3" t="n">
        <v>2571</v>
      </c>
      <c r="R4" s="3" t="n">
        <v>-4.75</v>
      </c>
      <c r="S4" s="3" t="n">
        <v>-20.75</v>
      </c>
      <c r="T4" s="3" t="n">
        <v>7.24</v>
      </c>
      <c r="U4" s="3" t="n">
        <v>5.82</v>
      </c>
      <c r="V4" s="3" t="n">
        <v>92.44</v>
      </c>
      <c r="W4" s="3" t="n">
        <v>39.54</v>
      </c>
      <c r="X4" s="3" t="n">
        <v>2.69</v>
      </c>
      <c r="Y4" s="3" t="n">
        <v>54.59</v>
      </c>
      <c r="Z4" s="3" t="n">
        <v>1.37</v>
      </c>
      <c r="AA4" s="3" t="n">
        <v>-4.74</v>
      </c>
      <c r="AB4" s="5" t="n">
        <v>2.4</v>
      </c>
      <c r="AC4" s="3" t="n">
        <v/>
      </c>
      <c r="AD4" s="3" t="n">
        <v>6.2</v>
      </c>
      <c r="AE4" s="3" t="n">
        <v/>
      </c>
    </row>
    <row r="5">
      <c r="A5" s="6" t="n">
        <v>46100.53773148148</v>
      </c>
      <c r="B5" s="7" t="n">
        <v>87.68000000000001</v>
      </c>
      <c r="C5" s="7" t="n">
        <v>126.95</v>
      </c>
      <c r="D5" s="8" t="n">
        <v>1.45</v>
      </c>
      <c r="E5" s="7" t="n">
        <v>197.86</v>
      </c>
      <c r="F5" s="7" t="n">
        <v>232.04</v>
      </c>
      <c r="G5" s="7" t="n">
        <v/>
      </c>
      <c r="H5" s="7" t="n">
        <v/>
      </c>
      <c r="I5" s="7" t="n">
        <v>0.7</v>
      </c>
      <c r="J5" s="7" t="n">
        <v>0.32</v>
      </c>
      <c r="K5" s="7" t="n">
        <v>-0.39</v>
      </c>
      <c r="L5" s="7" t="n">
        <v>0.36</v>
      </c>
      <c r="M5" s="9" t="n">
        <v>3.5</v>
      </c>
      <c r="N5" s="7" t="n">
        <v>16.63</v>
      </c>
      <c r="O5" s="7" t="n">
        <v>15.33</v>
      </c>
      <c r="P5" s="7" t="n">
        <v>13.12</v>
      </c>
      <c r="Q5" s="7" t="n">
        <v>1634.47</v>
      </c>
      <c r="R5" s="7" t="n">
        <v>-2.52</v>
      </c>
      <c r="S5" s="7" t="n">
        <v>-6.62</v>
      </c>
      <c r="T5" s="7" t="n">
        <v>-2.9</v>
      </c>
      <c r="U5" s="7" t="n">
        <v>-4.62</v>
      </c>
      <c r="V5" s="7" t="n">
        <v>62.25</v>
      </c>
      <c r="W5" s="7" t="n">
        <v>29.31</v>
      </c>
      <c r="X5" s="7" t="n">
        <v>3.17</v>
      </c>
      <c r="Y5" s="7" t="n">
        <v>55.53</v>
      </c>
      <c r="Z5" s="7" t="n">
        <v>1.44</v>
      </c>
      <c r="AA5" s="7" t="n">
        <v>-1.83</v>
      </c>
      <c r="AB5" s="9" t="n">
        <v>-4.21</v>
      </c>
      <c r="AC5" s="7" t="n">
        <v/>
      </c>
      <c r="AD5" s="7" t="n">
        <v>4.99</v>
      </c>
      <c r="AE5" s="7" t="n">
        <v/>
      </c>
    </row>
    <row r="6">
      <c r="A6" s="2" t="n">
        <v>46100.53846064815</v>
      </c>
      <c r="B6" s="3" t="n">
        <v>89.33</v>
      </c>
      <c r="C6" s="3" t="n">
        <v>131.07</v>
      </c>
      <c r="D6" s="4" t="n">
        <v>1.47</v>
      </c>
      <c r="E6" s="3" t="n">
        <v>207.36</v>
      </c>
      <c r="F6" s="3" t="n">
        <v>235.87</v>
      </c>
      <c r="G6" s="3" t="n">
        <v/>
      </c>
      <c r="H6" s="3" t="n">
        <v/>
      </c>
      <c r="I6" s="3" t="n">
        <v>3.7</v>
      </c>
      <c r="J6" s="3" t="n">
        <v>-2.2</v>
      </c>
      <c r="K6" s="3" t="n">
        <v>-5.9</v>
      </c>
      <c r="L6" s="3" t="n">
        <v>-1.4</v>
      </c>
      <c r="M6" s="5" t="n">
        <v>3.3</v>
      </c>
      <c r="N6" s="3" t="n">
        <v>16.36</v>
      </c>
      <c r="O6" s="3" t="n">
        <v>14.66</v>
      </c>
      <c r="P6" s="3" t="n">
        <v>14.31</v>
      </c>
      <c r="Q6" s="3" t="n">
        <v>2438.67</v>
      </c>
      <c r="R6" s="3" t="n">
        <v>-16.53</v>
      </c>
      <c r="S6" s="3" t="n">
        <v>-62.88</v>
      </c>
      <c r="T6" s="3" t="n">
        <v>-77.94</v>
      </c>
      <c r="U6" s="3" t="n">
        <v>-98.65000000000001</v>
      </c>
      <c r="V6" s="3" t="n">
        <v>71.83</v>
      </c>
      <c r="W6" s="3" t="n">
        <v>33.3</v>
      </c>
      <c r="X6" s="3" t="n">
        <v>5.82</v>
      </c>
      <c r="Y6" s="3" t="n">
        <v>56.82</v>
      </c>
      <c r="Z6" s="3" t="n">
        <v>1.46</v>
      </c>
      <c r="AA6" s="3" t="n">
        <v>-23.37</v>
      </c>
      <c r="AB6" s="5" t="n">
        <v>-3.9</v>
      </c>
      <c r="AC6" s="3" t="n">
        <v/>
      </c>
      <c r="AD6" s="3" t="n">
        <v>5.59</v>
      </c>
      <c r="AE6" s="3" t="n">
        <v/>
      </c>
    </row>
    <row r="7">
      <c r="A7" s="6" t="n">
        <v>46100.53885416667</v>
      </c>
      <c r="B7" s="7" t="n">
        <v>90.39</v>
      </c>
      <c r="C7" s="7" t="n">
        <v>130.55</v>
      </c>
      <c r="D7" s="8" t="n">
        <v>1.44</v>
      </c>
      <c r="E7" s="7" t="n">
        <v>203.06</v>
      </c>
      <c r="F7" s="7" t="n">
        <v>214.61</v>
      </c>
      <c r="G7" s="7" t="n">
        <v/>
      </c>
      <c r="H7" s="7" t="n">
        <v/>
      </c>
      <c r="I7" s="7" t="n">
        <v>-1</v>
      </c>
      <c r="J7" s="7" t="n">
        <v>5.13</v>
      </c>
      <c r="K7" s="7" t="n">
        <v>6.13</v>
      </c>
      <c r="L7" s="7" t="n">
        <v>4.15</v>
      </c>
      <c r="M7" s="9" t="n">
        <v>1.4</v>
      </c>
      <c r="N7" s="7" t="n">
        <v>19.02</v>
      </c>
      <c r="O7" s="7" t="n">
        <v>16.38</v>
      </c>
      <c r="P7" s="7" t="n">
        <v>18.59</v>
      </c>
      <c r="Q7" s="7" t="n">
        <v>3625.26</v>
      </c>
      <c r="R7" s="7" t="n">
        <v>13.73</v>
      </c>
      <c r="S7" s="7" t="n">
        <v>69.34</v>
      </c>
      <c r="T7" s="7" t="n">
        <v>113.01</v>
      </c>
      <c r="U7" s="7" t="n">
        <v>124.77</v>
      </c>
      <c r="V7" s="7" t="n">
        <v>98.12</v>
      </c>
      <c r="W7" s="7" t="n">
        <v>43.41</v>
      </c>
      <c r="X7" s="7" t="n">
        <v>-0.08</v>
      </c>
      <c r="Y7" s="7" t="n">
        <v>44.15</v>
      </c>
      <c r="Z7" s="7" t="n">
        <v>1.29</v>
      </c>
      <c r="AA7" s="7" t="n">
        <v>18.52</v>
      </c>
      <c r="AB7" s="9" t="n">
        <v>-2.91</v>
      </c>
      <c r="AC7" s="7" t="n">
        <v/>
      </c>
      <c r="AD7" s="7" t="n">
        <v>6.38</v>
      </c>
      <c r="AE7" s="7" t="n">
        <v/>
      </c>
    </row>
    <row r="8">
      <c r="A8" s="2" t="n">
        <v>46100.54087962963</v>
      </c>
      <c r="B8" s="3" t="n">
        <v>90.23999999999999</v>
      </c>
      <c r="C8" s="3" t="n">
        <v>131.83</v>
      </c>
      <c r="D8" s="4" t="n">
        <v>1.46</v>
      </c>
      <c r="E8" s="3" t="n">
        <v>196.46</v>
      </c>
      <c r="F8" s="3" t="n">
        <v>229.95</v>
      </c>
      <c r="G8" s="3" t="n">
        <v/>
      </c>
      <c r="H8" s="3" t="n">
        <v/>
      </c>
      <c r="I8" s="3" t="n">
        <v>2.3</v>
      </c>
      <c r="J8" s="3" t="n">
        <v>-6.21</v>
      </c>
      <c r="K8" s="3" t="n">
        <v>-8.51</v>
      </c>
      <c r="L8" s="3" t="n">
        <v>-5.17</v>
      </c>
      <c r="M8" s="5" t="n">
        <v>2.5</v>
      </c>
      <c r="N8" s="3" t="n">
        <v>14.07</v>
      </c>
      <c r="O8" s="3" t="n">
        <v>12.72</v>
      </c>
      <c r="P8" s="3" t="n">
        <v>14.21</v>
      </c>
      <c r="Q8" s="3" t="n">
        <v>2198.21</v>
      </c>
      <c r="R8" s="3" t="n">
        <v>-24.5</v>
      </c>
      <c r="S8" s="3" t="n">
        <v>-73.81</v>
      </c>
      <c r="T8" s="3" t="n">
        <v>-126.23</v>
      </c>
      <c r="U8" s="3" t="n">
        <v>-162.64</v>
      </c>
      <c r="V8" s="3" t="n">
        <v>54.15</v>
      </c>
      <c r="W8" s="3" t="n">
        <v>27.03</v>
      </c>
      <c r="X8" s="3" t="n">
        <v>4.03</v>
      </c>
      <c r="Y8" s="3" t="n">
        <v>55.72</v>
      </c>
      <c r="Z8" s="3" t="n">
        <v>1.46</v>
      </c>
      <c r="AA8" s="3" t="n">
        <v>-35.56</v>
      </c>
      <c r="AB8" s="5" t="n">
        <v>-3.15</v>
      </c>
      <c r="AC8" s="3" t="n">
        <v/>
      </c>
      <c r="AD8" s="3" t="n">
        <v>4.87</v>
      </c>
      <c r="AE8" s="3" t="n">
        <v/>
      </c>
    </row>
    <row r="9">
      <c r="A9" s="6" t="n">
        <v>46100.53928240741</v>
      </c>
      <c r="B9" s="7" t="n">
        <v>88.87</v>
      </c>
      <c r="C9" s="7" t="n">
        <v>129.07</v>
      </c>
      <c r="D9" s="8" t="n">
        <v>1.45</v>
      </c>
      <c r="E9" s="7" t="n">
        <v>208.7</v>
      </c>
      <c r="F9" s="7" t="n">
        <v>237.29</v>
      </c>
      <c r="G9" s="7" t="n">
        <v/>
      </c>
      <c r="H9" s="7" t="n">
        <v/>
      </c>
      <c r="I9" s="7" t="n">
        <v>1.7</v>
      </c>
      <c r="J9" s="7" t="n">
        <v>2.2</v>
      </c>
      <c r="K9" s="7" t="n">
        <v>0.5</v>
      </c>
      <c r="L9" s="7" t="n">
        <v>2.15</v>
      </c>
      <c r="M9" s="9" t="n">
        <v>2.7</v>
      </c>
      <c r="N9" s="7" t="n">
        <v>17.72</v>
      </c>
      <c r="O9" s="7" t="n">
        <v>16.12</v>
      </c>
      <c r="P9" s="7" t="n">
        <v>14.97</v>
      </c>
      <c r="Q9" s="7" t="n">
        <v>2041</v>
      </c>
      <c r="R9" s="7" t="n">
        <v>-0.04</v>
      </c>
      <c r="S9" s="7" t="n">
        <v>-0.12</v>
      </c>
      <c r="T9" s="7" t="n">
        <v>23.42</v>
      </c>
      <c r="U9" s="7" t="n">
        <v>26.61</v>
      </c>
      <c r="V9" s="7" t="n">
        <v>75.54000000000001</v>
      </c>
      <c r="W9" s="7" t="n">
        <v>33.78</v>
      </c>
      <c r="X9" s="7" t="n">
        <v>3.69</v>
      </c>
      <c r="Y9" s="7" t="n">
        <v>55.21</v>
      </c>
      <c r="Z9" s="7" t="n">
        <v>1.5</v>
      </c>
      <c r="AA9" s="7" t="n">
        <v>1.59</v>
      </c>
      <c r="AB9" s="9" t="n">
        <v>-3.46</v>
      </c>
      <c r="AC9" s="7" t="n">
        <v/>
      </c>
      <c r="AD9" s="7" t="n">
        <v>5.59</v>
      </c>
      <c r="AE9" s="7" t="n">
        <v/>
      </c>
    </row>
    <row r="11">
      <c r="A11" s="10" t="inlineStr">
        <is>
          <t>Pos Av</t>
        </is>
      </c>
      <c r="B11" s="11">
        <f>IF(COUNTIF(B2:B9,"&gt;0"),AVERAGEIF(B2:B9,"&gt;0"),"—")</f>
        <v/>
      </c>
      <c r="C11" s="11">
        <f>IF(COUNTIF(C2:C9,"&gt;0"),AVERAGEIF(C2:C9,"&gt;0"),"—")</f>
        <v/>
      </c>
      <c r="D11" s="12">
        <f>IF(COUNTIF(D2:D9,"&gt;0"),AVERAGEIF(D2:D9,"&gt;0"),"—")</f>
        <v/>
      </c>
      <c r="E11" s="11">
        <f>IF(COUNTIF(E2:E9,"&gt;0"),AVERAGEIF(E2:E9,"&gt;0"),"—")</f>
        <v/>
      </c>
      <c r="F11" s="11">
        <f>IF(COUNTIF(F2:F9,"&gt;0"),AVERAGEIF(F2:F9,"&gt;0"),"—")</f>
        <v/>
      </c>
      <c r="G11" s="11">
        <f>IF(COUNTIF(G2:G9,"&gt;0"),AVERAGEIF(G2:G9,"&gt;0"),"—")</f>
        <v/>
      </c>
      <c r="H11" s="11">
        <f>IF(COUNTIF(H2:H9,"&gt;0"),AVERAGEIF(H2:H9,"&gt;0"),"—")</f>
        <v/>
      </c>
      <c r="I11" s="11">
        <f>IF(COUNTIF(I2:I9,"&gt;0"),AVERAGEIF(I2:I9,"&gt;0"),"—")</f>
        <v/>
      </c>
      <c r="J11" s="11">
        <f>IF(COUNTIF(J2:J9,"&gt;0"),AVERAGEIF(J2:J9,"&gt;0"),"—")</f>
        <v/>
      </c>
      <c r="K11" s="11">
        <f>IF(COUNTIF(K2:K9,"&gt;0"),AVERAGEIF(K2:K9,"&gt;0"),"—")</f>
        <v/>
      </c>
      <c r="L11" s="11">
        <f>IF(COUNTIF(L2:L9,"&gt;0"),AVERAGEIF(L2:L9,"&gt;0"),"—")</f>
        <v/>
      </c>
      <c r="M11" s="13">
        <f>IF(COUNTIF(M2:M9,"&gt;0"),AVERAGEIF(M2:M9,"&gt;0"),"—")</f>
        <v/>
      </c>
      <c r="N11" s="11">
        <f>IF(COUNTIF(N2:N9,"&gt;0"),AVERAGEIF(N2:N9,"&gt;0"),"—")</f>
        <v/>
      </c>
      <c r="O11" s="11">
        <f>IF(COUNTIF(O2:O9,"&gt;0"),AVERAGEIF(O2:O9,"&gt;0"),"—")</f>
        <v/>
      </c>
      <c r="P11" s="11">
        <f>IF(COUNTIF(P2:P9,"&gt;0"),AVERAGEIF(P2:P9,"&gt;0"),"—")</f>
        <v/>
      </c>
      <c r="Q11" s="11">
        <f>IF(COUNTIF(Q2:Q9,"&gt;0"),AVERAGEIF(Q2:Q9,"&gt;0"),"—")</f>
        <v/>
      </c>
      <c r="R11" s="11">
        <f>IF(COUNTIF(R2:R9,"&gt;0"),AVERAGEIF(R2:R9,"&gt;0"),"—")</f>
        <v/>
      </c>
      <c r="S11" s="11">
        <f>IF(COUNTIF(S2:S9,"&gt;0"),AVERAGEIF(S2:S9,"&gt;0"),"—")</f>
        <v/>
      </c>
      <c r="T11" s="11">
        <f>IF(COUNTIF(T2:T9,"&gt;0"),AVERAGEIF(T2:T9,"&gt;0"),"—")</f>
        <v/>
      </c>
      <c r="U11" s="11">
        <f>IF(COUNTIF(U2:U9,"&gt;0"),AVERAGEIF(U2:U9,"&gt;0"),"—")</f>
        <v/>
      </c>
      <c r="V11" s="11">
        <f>IF(COUNTIF(V2:V9,"&gt;0"),AVERAGEIF(V2:V9,"&gt;0"),"—")</f>
        <v/>
      </c>
      <c r="W11" s="11">
        <f>IF(COUNTIF(W2:W9,"&gt;0"),AVERAGEIF(W2:W9,"&gt;0"),"—")</f>
        <v/>
      </c>
      <c r="X11" s="11">
        <f>IF(COUNTIF(X2:X9,"&gt;0"),AVERAGEIF(X2:X9,"&gt;0"),"—")</f>
        <v/>
      </c>
      <c r="Y11" s="11">
        <f>IF(COUNTIF(Y2:Y9,"&gt;0"),AVERAGEIF(Y2:Y9,"&gt;0"),"—")</f>
        <v/>
      </c>
      <c r="Z11" s="11">
        <f>IF(COUNTIF(Z2:Z9,"&gt;0"),AVERAGEIF(Z2:Z9,"&gt;0"),"—")</f>
        <v/>
      </c>
      <c r="AA11" s="11">
        <f>IF(COUNTIF(AA2:AA9,"&gt;0"),AVERAGEIF(AA2:AA9,"&gt;0"),"—")</f>
        <v/>
      </c>
      <c r="AB11" s="13">
        <f>IF(COUNTIF(AB2:AB9,"&gt;0"),AVERAGEIF(AB2:AB9,"&gt;0"),"—")</f>
        <v/>
      </c>
      <c r="AC11" s="11">
        <f>IF(COUNTIF(AC2:AC9,"&gt;0"),AVERAGEIF(AC2:AC9,"&gt;0"),"—")</f>
        <v/>
      </c>
      <c r="AD11" s="11">
        <f>IF(COUNTIF(AD2:AD9,"&gt;0"),AVERAGEIF(AD2:AD9,"&gt;0"),"—")</f>
        <v/>
      </c>
      <c r="AE11" s="11">
        <f>IF(COUNTIF(AE2:AE9,"&gt;0"),AVERAGEIF(AE2:AE9,"&gt;0"),"—")</f>
        <v/>
      </c>
    </row>
    <row r="12">
      <c r="A12" s="10" t="inlineStr">
        <is>
          <t>Neg Av</t>
        </is>
      </c>
      <c r="B12" s="11">
        <f>IF(COUNTIF(B2:B9,"&lt;0"),AVERAGEIF(B2:B9,"&lt;0"),"—")</f>
        <v/>
      </c>
      <c r="C12" s="11">
        <f>IF(COUNTIF(C2:C9,"&lt;0"),AVERAGEIF(C2:C9,"&lt;0"),"—")</f>
        <v/>
      </c>
      <c r="D12" s="12">
        <f>IF(COUNTIF(D2:D9,"&lt;0"),AVERAGEIF(D2:D9,"&lt;0"),"—")</f>
        <v/>
      </c>
      <c r="E12" s="11">
        <f>IF(COUNTIF(E2:E9,"&lt;0"),AVERAGEIF(E2:E9,"&lt;0"),"—")</f>
        <v/>
      </c>
      <c r="F12" s="11">
        <f>IF(COUNTIF(F2:F9,"&lt;0"),AVERAGEIF(F2:F9,"&lt;0"),"—")</f>
        <v/>
      </c>
      <c r="G12" s="11">
        <f>IF(COUNTIF(G2:G9,"&lt;0"),AVERAGEIF(G2:G9,"&lt;0"),"—")</f>
        <v/>
      </c>
      <c r="H12" s="11">
        <f>IF(COUNTIF(H2:H9,"&lt;0"),AVERAGEIF(H2:H9,"&lt;0"),"—")</f>
        <v/>
      </c>
      <c r="I12" s="11">
        <f>IF(COUNTIF(I2:I9,"&lt;0"),AVERAGEIF(I2:I9,"&lt;0"),"—")</f>
        <v/>
      </c>
      <c r="J12" s="11">
        <f>IF(COUNTIF(J2:J9,"&lt;0"),AVERAGEIF(J2:J9,"&lt;0"),"—")</f>
        <v/>
      </c>
      <c r="K12" s="11">
        <f>IF(COUNTIF(K2:K9,"&lt;0"),AVERAGEIF(K2:K9,"&lt;0"),"—")</f>
        <v/>
      </c>
      <c r="L12" s="11">
        <f>IF(COUNTIF(L2:L9,"&lt;0"),AVERAGEIF(L2:L9,"&lt;0"),"—")</f>
        <v/>
      </c>
      <c r="M12" s="13">
        <f>IF(COUNTIF(M2:M9,"&lt;0"),AVERAGEIF(M2:M9,"&lt;0"),"—")</f>
        <v/>
      </c>
      <c r="N12" s="11">
        <f>IF(COUNTIF(N2:N9,"&lt;0"),AVERAGEIF(N2:N9,"&lt;0"),"—")</f>
        <v/>
      </c>
      <c r="O12" s="11">
        <f>IF(COUNTIF(O2:O9,"&lt;0"),AVERAGEIF(O2:O9,"&lt;0"),"—")</f>
        <v/>
      </c>
      <c r="P12" s="11">
        <f>IF(COUNTIF(P2:P9,"&lt;0"),AVERAGEIF(P2:P9,"&lt;0"),"—")</f>
        <v/>
      </c>
      <c r="Q12" s="11">
        <f>IF(COUNTIF(Q2:Q9,"&lt;0"),AVERAGEIF(Q2:Q9,"&lt;0"),"—")</f>
        <v/>
      </c>
      <c r="R12" s="11">
        <f>IF(COUNTIF(R2:R9,"&lt;0"),AVERAGEIF(R2:R9,"&lt;0"),"—")</f>
        <v/>
      </c>
      <c r="S12" s="11">
        <f>IF(COUNTIF(S2:S9,"&lt;0"),AVERAGEIF(S2:S9,"&lt;0"),"—")</f>
        <v/>
      </c>
      <c r="T12" s="11">
        <f>IF(COUNTIF(T2:T9,"&lt;0"),AVERAGEIF(T2:T9,"&lt;0"),"—")</f>
        <v/>
      </c>
      <c r="U12" s="11">
        <f>IF(COUNTIF(U2:U9,"&lt;0"),AVERAGEIF(U2:U9,"&lt;0"),"—")</f>
        <v/>
      </c>
      <c r="V12" s="11">
        <f>IF(COUNTIF(V2:V9,"&lt;0"),AVERAGEIF(V2:V9,"&lt;0"),"—")</f>
        <v/>
      </c>
      <c r="W12" s="11">
        <f>IF(COUNTIF(W2:W9,"&lt;0"),AVERAGEIF(W2:W9,"&lt;0"),"—")</f>
        <v/>
      </c>
      <c r="X12" s="11">
        <f>IF(COUNTIF(X2:X9,"&lt;0"),AVERAGEIF(X2:X9,"&lt;0"),"—")</f>
        <v/>
      </c>
      <c r="Y12" s="11">
        <f>IF(COUNTIF(Y2:Y9,"&lt;0"),AVERAGEIF(Y2:Y9,"&lt;0"),"—")</f>
        <v/>
      </c>
      <c r="Z12" s="11">
        <f>IF(COUNTIF(Z2:Z9,"&lt;0"),AVERAGEIF(Z2:Z9,"&lt;0"),"—")</f>
        <v/>
      </c>
      <c r="AA12" s="11">
        <f>IF(COUNTIF(AA2:AA9,"&lt;0"),AVERAGEIF(AA2:AA9,"&lt;0"),"—")</f>
        <v/>
      </c>
      <c r="AB12" s="13">
        <f>IF(COUNTIF(AB2:AB9,"&lt;0"),AVERAGEIF(AB2:AB9,"&lt;0"),"—")</f>
        <v/>
      </c>
      <c r="AC12" s="11">
        <f>IF(COUNTIF(AC2:AC9,"&lt;0"),AVERAGEIF(AC2:AC9,"&lt;0"),"—")</f>
        <v/>
      </c>
      <c r="AD12" s="11">
        <f>IF(COUNTIF(AD2:AD9,"&lt;0"),AVERAGEIF(AD2:AD9,"&lt;0"),"—")</f>
        <v/>
      </c>
      <c r="AE12" s="11">
        <f>IF(COUNTIF(AE2:AE9,"&lt;0"),AVERAGEIF(AE2:AE9,"&lt;0"),"—")</f>
        <v/>
      </c>
    </row>
    <row r="13">
      <c r="A13" s="10" t="inlineStr">
        <is>
          <t>1 Av</t>
        </is>
      </c>
      <c r="B13" s="11">
        <f>IF(COUNTA(B2:B9),AVERAGE(B2:B9),"—")</f>
        <v/>
      </c>
      <c r="C13" s="11">
        <f>IF(COUNTA(C2:C9),AVERAGE(C2:C9),"—")</f>
        <v/>
      </c>
      <c r="D13" s="12">
        <f>IF(COUNTA(D2:D9),AVERAGE(D2:D9),"—")</f>
        <v/>
      </c>
      <c r="E13" s="11">
        <f>IF(COUNTA(E2:E9),AVERAGE(E2:E9),"—")</f>
        <v/>
      </c>
      <c r="F13" s="11">
        <f>IF(COUNTA(F2:F9),AVERAGE(F2:F9),"—")</f>
        <v/>
      </c>
      <c r="G13" s="11">
        <f>IF(COUNTA(G2:G9),AVERAGE(G2:G9),"—")</f>
        <v/>
      </c>
      <c r="H13" s="11">
        <f>IF(COUNTA(H2:H9),AVERAGE(H2:H9),"—")</f>
        <v/>
      </c>
      <c r="I13" s="11">
        <f>IF(COUNTA(I2:I9),AVERAGE(I2:I9),"—")</f>
        <v/>
      </c>
      <c r="J13" s="11">
        <f>IF(COUNTA(J2:J9),AVERAGE(J2:J9),"—")</f>
        <v/>
      </c>
      <c r="K13" s="11">
        <f>IF(COUNTA(K2:K9),AVERAGE(K2:K9),"—")</f>
        <v/>
      </c>
      <c r="L13" s="11">
        <f>IF(COUNTA(L2:L9),AVERAGE(L2:L9),"—")</f>
        <v/>
      </c>
      <c r="M13" s="13">
        <f>IF(COUNTA(M2:M9),AVERAGE(M2:M9),"—")</f>
        <v/>
      </c>
      <c r="N13" s="11">
        <f>IF(COUNTA(N2:N9),AVERAGE(N2:N9),"—")</f>
        <v/>
      </c>
      <c r="O13" s="11">
        <f>IF(COUNTA(O2:O9),AVERAGE(O2:O9),"—")</f>
        <v/>
      </c>
      <c r="P13" s="11">
        <f>IF(COUNTA(P2:P9),AVERAGE(P2:P9),"—")</f>
        <v/>
      </c>
      <c r="Q13" s="11">
        <f>IF(COUNTA(Q2:Q9),AVERAGE(Q2:Q9),"—")</f>
        <v/>
      </c>
      <c r="R13" s="11">
        <f>IF(COUNTA(R2:R9),AVERAGE(R2:R9),"—")</f>
        <v/>
      </c>
      <c r="S13" s="11">
        <f>IF(COUNTA(S2:S9),AVERAGE(S2:S9),"—")</f>
        <v/>
      </c>
      <c r="T13" s="11">
        <f>IF(COUNTA(T2:T9),AVERAGE(T2:T9),"—")</f>
        <v/>
      </c>
      <c r="U13" s="11">
        <f>IF(COUNTA(U2:U9),AVERAGE(U2:U9),"—")</f>
        <v/>
      </c>
      <c r="V13" s="11">
        <f>IF(COUNTA(V2:V9),AVERAGE(V2:V9),"—")</f>
        <v/>
      </c>
      <c r="W13" s="11">
        <f>IF(COUNTA(W2:W9),AVERAGE(W2:W9),"—")</f>
        <v/>
      </c>
      <c r="X13" s="11">
        <f>IF(COUNTA(X2:X9),AVERAGE(X2:X9),"—")</f>
        <v/>
      </c>
      <c r="Y13" s="11">
        <f>IF(COUNTA(Y2:Y9),AVERAGE(Y2:Y9),"—")</f>
        <v/>
      </c>
      <c r="Z13" s="11">
        <f>IF(COUNTA(Z2:Z9),AVERAGE(Z2:Z9),"—")</f>
        <v/>
      </c>
      <c r="AA13" s="11">
        <f>IF(COUNTA(AA2:AA9),AVERAGE(AA2:AA9),"—")</f>
        <v/>
      </c>
      <c r="AB13" s="13">
        <f>IF(COUNTA(AB2:AB9),AVERAGE(AB2:AB9),"—")</f>
        <v/>
      </c>
      <c r="AC13" s="11">
        <f>IF(COUNTA(AC2:AC9),AVERAGE(AC2:AC9),"—")</f>
        <v/>
      </c>
      <c r="AD13" s="11">
        <f>IF(COUNTA(AD2:AD9),AVERAGE(AD2:AD9),"—")</f>
        <v/>
      </c>
      <c r="AE13" s="11">
        <f>IF(COUNTA(AE2:AE9),AVERAGE(AE2:AE9),"—")</f>
        <v/>
      </c>
    </row>
    <row r="14">
      <c r="A14" s="10" t="inlineStr">
        <is>
          <t>Spread</t>
        </is>
      </c>
      <c r="B14" s="11">
        <f>IF(AND(ISNUMBER(B11),ISNUMBER(B12)),B11-B12,"—")</f>
        <v/>
      </c>
      <c r="C14" s="11">
        <f>IF(AND(ISNUMBER(C11),ISNUMBER(C12)),C11-C12,"—")</f>
        <v/>
      </c>
      <c r="D14" s="12">
        <f>IF(AND(ISNUMBER(D11),ISNUMBER(D12)),D11-D12,"—")</f>
        <v/>
      </c>
      <c r="E14" s="11">
        <f>IF(AND(ISNUMBER(E11),ISNUMBER(E12)),E11-E12,"—")</f>
        <v/>
      </c>
      <c r="F14" s="11">
        <f>IF(AND(ISNUMBER(F11),ISNUMBER(F12)),F11-F12,"—")</f>
        <v/>
      </c>
      <c r="G14" s="11">
        <f>IF(AND(ISNUMBER(G11),ISNUMBER(G12)),G11-G12,"—")</f>
        <v/>
      </c>
      <c r="H14" s="11">
        <f>IF(AND(ISNUMBER(H11),ISNUMBER(H12)),H11-H12,"—")</f>
        <v/>
      </c>
      <c r="I14" s="11">
        <f>IF(AND(ISNUMBER(I11),ISNUMBER(I12)),I11-I12,"—")</f>
        <v/>
      </c>
      <c r="J14" s="11">
        <f>IF(AND(ISNUMBER(J11),ISNUMBER(J12)),J11-J12,"—")</f>
        <v/>
      </c>
      <c r="K14" s="11">
        <f>IF(AND(ISNUMBER(K11),ISNUMBER(K12)),K11-K12,"—")</f>
        <v/>
      </c>
      <c r="L14" s="11">
        <f>IF(AND(ISNUMBER(L11),ISNUMBER(L12)),L11-L12,"—")</f>
        <v/>
      </c>
      <c r="M14" s="13">
        <f>IF(AND(ISNUMBER(M11),ISNUMBER(M12)),M11-M12,"—")</f>
        <v/>
      </c>
      <c r="N14" s="11">
        <f>IF(AND(ISNUMBER(N11),ISNUMBER(N12)),N11-N12,"—")</f>
        <v/>
      </c>
      <c r="O14" s="11">
        <f>IF(AND(ISNUMBER(O11),ISNUMBER(O12)),O11-O12,"—")</f>
        <v/>
      </c>
      <c r="P14" s="11">
        <f>IF(AND(ISNUMBER(P11),ISNUMBER(P12)),P11-P12,"—")</f>
        <v/>
      </c>
      <c r="Q14" s="11">
        <f>IF(AND(ISNUMBER(Q11),ISNUMBER(Q12)),Q11-Q12,"—")</f>
        <v/>
      </c>
      <c r="R14" s="11">
        <f>IF(AND(ISNUMBER(R11),ISNUMBER(R12)),R11-R12,"—")</f>
        <v/>
      </c>
      <c r="S14" s="11">
        <f>IF(AND(ISNUMBER(S11),ISNUMBER(S12)),S11-S12,"—")</f>
        <v/>
      </c>
      <c r="T14" s="11">
        <f>IF(AND(ISNUMBER(T11),ISNUMBER(T12)),T11-T12,"—")</f>
        <v/>
      </c>
      <c r="U14" s="11">
        <f>IF(AND(ISNUMBER(U11),ISNUMBER(U12)),U11-U12,"—")</f>
        <v/>
      </c>
      <c r="V14" s="11">
        <f>IF(AND(ISNUMBER(V11),ISNUMBER(V12)),V11-V12,"—")</f>
        <v/>
      </c>
      <c r="W14" s="11">
        <f>IF(AND(ISNUMBER(W11),ISNUMBER(W12)),W11-W12,"—")</f>
        <v/>
      </c>
      <c r="X14" s="11">
        <f>IF(AND(ISNUMBER(X11),ISNUMBER(X12)),X11-X12,"—")</f>
        <v/>
      </c>
      <c r="Y14" s="11">
        <f>IF(AND(ISNUMBER(Y11),ISNUMBER(Y12)),Y11-Y12,"—")</f>
        <v/>
      </c>
      <c r="Z14" s="11">
        <f>IF(AND(ISNUMBER(Z11),ISNUMBER(Z12)),Z11-Z12,"—")</f>
        <v/>
      </c>
      <c r="AA14" s="11">
        <f>IF(AND(ISNUMBER(AA11),ISNUMBER(AA12)),AA11-AA12,"—")</f>
        <v/>
      </c>
      <c r="AB14" s="13">
        <f>IF(AND(ISNUMBER(AB11),ISNUMBER(AB12)),AB11-AB12,"—")</f>
        <v/>
      </c>
      <c r="AC14" s="11">
        <f>IF(AND(ISNUMBER(AC11),ISNUMBER(AC12)),AC11-AC12,"—")</f>
        <v/>
      </c>
      <c r="AD14" s="11">
        <f>IF(AND(ISNUMBER(AD11),ISNUMBER(AD12)),AD11-AD12,"—")</f>
        <v/>
      </c>
      <c r="AE14" s="11">
        <f>IF(AND(ISNUMBER(AE11),ISNUMBER(AE12)),AE11-AE12,"—")</f>
        <v/>
      </c>
    </row>
    <row r="15">
      <c r="A15" s="10" t="inlineStr">
        <is>
          <t>% Pos</t>
        </is>
      </c>
      <c r="B15" s="14">
        <f>IF(COUNTA(B2:B9),COUNTIF(B2:B9,"&gt;0")/COUNTA(B2:B9),"—")</f>
        <v/>
      </c>
      <c r="C15" s="14">
        <f>IF(COUNTA(C2:C9),COUNTIF(C2:C9,"&gt;0")/COUNTA(C2:C9),"—")</f>
        <v/>
      </c>
      <c r="D15" s="14">
        <f>IF(COUNTA(D2:D9),COUNTIF(D2:D9,"&gt;0")/COUNTA(D2:D9),"—")</f>
        <v/>
      </c>
      <c r="E15" s="14">
        <f>IF(COUNTA(E2:E9),COUNTIF(E2:E9,"&gt;0")/COUNTA(E2:E9),"—")</f>
        <v/>
      </c>
      <c r="F15" s="14">
        <f>IF(COUNTA(F2:F9),COUNTIF(F2:F9,"&gt;0")/COUNTA(F2:F9),"—")</f>
        <v/>
      </c>
      <c r="G15" s="14">
        <f>IF(COUNTA(G2:G9),COUNTIF(G2:G9,"&gt;0")/COUNTA(G2:G9),"—")</f>
        <v/>
      </c>
      <c r="H15" s="14">
        <f>IF(COUNTA(H2:H9),COUNTIF(H2:H9,"&gt;0")/COUNTA(H2:H9),"—")</f>
        <v/>
      </c>
      <c r="I15" s="14">
        <f>IF(COUNTA(I2:I9),COUNTIF(I2:I9,"&gt;0")/COUNTA(I2:I9),"—")</f>
        <v/>
      </c>
      <c r="J15" s="14">
        <f>IF(COUNTA(J2:J9),COUNTIF(J2:J9,"&gt;0")/COUNTA(J2:J9),"—")</f>
        <v/>
      </c>
      <c r="K15" s="14">
        <f>IF(COUNTA(K2:K9),COUNTIF(K2:K9,"&gt;0")/COUNTA(K2:K9),"—")</f>
        <v/>
      </c>
      <c r="L15" s="14">
        <f>IF(COUNTA(L2:L9),COUNTIF(L2:L9,"&gt;0")/COUNTA(L2:L9),"—")</f>
        <v/>
      </c>
      <c r="M15" s="14">
        <f>IF(COUNTA(M2:M9),COUNTIF(M2:M9,"&gt;0")/COUNTA(M2:M9),"—")</f>
        <v/>
      </c>
      <c r="N15" s="14">
        <f>IF(COUNTA(N2:N9),COUNTIF(N2:N9,"&gt;0")/COUNTA(N2:N9),"—")</f>
        <v/>
      </c>
      <c r="O15" s="14">
        <f>IF(COUNTA(O2:O9),COUNTIF(O2:O9,"&gt;0")/COUNTA(O2:O9),"—")</f>
        <v/>
      </c>
      <c r="P15" s="14">
        <f>IF(COUNTA(P2:P9),COUNTIF(P2:P9,"&gt;0")/COUNTA(P2:P9),"—")</f>
        <v/>
      </c>
      <c r="Q15" s="14">
        <f>IF(COUNTA(Q2:Q9),COUNTIF(Q2:Q9,"&gt;0")/COUNTA(Q2:Q9),"—")</f>
        <v/>
      </c>
      <c r="R15" s="14">
        <f>IF(COUNTA(R2:R9),COUNTIF(R2:R9,"&gt;0")/COUNTA(R2:R9),"—")</f>
        <v/>
      </c>
      <c r="S15" s="14">
        <f>IF(COUNTA(S2:S9),COUNTIF(S2:S9,"&gt;0")/COUNTA(S2:S9),"—")</f>
        <v/>
      </c>
      <c r="T15" s="14">
        <f>IF(COUNTA(T2:T9),COUNTIF(T2:T9,"&gt;0")/COUNTA(T2:T9),"—")</f>
        <v/>
      </c>
      <c r="U15" s="14">
        <f>IF(COUNTA(U2:U9),COUNTIF(U2:U9,"&gt;0")/COUNTA(U2:U9),"—")</f>
        <v/>
      </c>
      <c r="V15" s="14">
        <f>IF(COUNTA(V2:V9),COUNTIF(V2:V9,"&gt;0")/COUNTA(V2:V9),"—")</f>
        <v/>
      </c>
      <c r="W15" s="14">
        <f>IF(COUNTA(W2:W9),COUNTIF(W2:W9,"&gt;0")/COUNTA(W2:W9),"—")</f>
        <v/>
      </c>
      <c r="X15" s="14">
        <f>IF(COUNTA(X2:X9),COUNTIF(X2:X9,"&gt;0")/COUNTA(X2:X9),"—")</f>
        <v/>
      </c>
      <c r="Y15" s="14">
        <f>IF(COUNTA(Y2:Y9),COUNTIF(Y2:Y9,"&gt;0")/COUNTA(Y2:Y9),"—")</f>
        <v/>
      </c>
      <c r="Z15" s="14">
        <f>IF(COUNTA(Z2:Z9),COUNTIF(Z2:Z9,"&gt;0")/COUNTA(Z2:Z9),"—")</f>
        <v/>
      </c>
      <c r="AA15" s="14">
        <f>IF(COUNTA(AA2:AA9),COUNTIF(AA2:AA9,"&gt;0")/COUNTA(AA2:AA9),"—")</f>
        <v/>
      </c>
      <c r="AB15" s="14">
        <f>IF(COUNTA(AB2:AB9),COUNTIF(AB2:AB9,"&gt;0")/COUNTA(AB2:AB9),"—")</f>
        <v/>
      </c>
      <c r="AC15" s="14">
        <f>IF(COUNTA(AC2:AC9),COUNTIF(AC2:AC9,"&gt;0")/COUNTA(AC2:AC9),"—")</f>
        <v/>
      </c>
      <c r="AD15" s="14">
        <f>IF(COUNTA(AD2:AD9),COUNTIF(AD2:AD9,"&gt;0")/COUNTA(AD2:AD9),"—")</f>
        <v/>
      </c>
      <c r="AE15" s="14">
        <f>IF(COUNTA(AE2:AE9),COUNTIF(AE2:AE9,"&gt;0")/COUNTA(AE2:AE9),"—")</f>
        <v/>
      </c>
    </row>
    <row r="16">
      <c r="A16" s="10" t="inlineStr">
        <is>
          <t>% Neg</t>
        </is>
      </c>
      <c r="B16" s="14">
        <f>IF(COUNTA(B2:B9),COUNTIF(B2:B9,"&lt;0")/COUNTA(B2:B9),"—")</f>
        <v/>
      </c>
      <c r="C16" s="14">
        <f>IF(COUNTA(C2:C9),COUNTIF(C2:C9,"&lt;0")/COUNTA(C2:C9),"—")</f>
        <v/>
      </c>
      <c r="D16" s="14">
        <f>IF(COUNTA(D2:D9),COUNTIF(D2:D9,"&lt;0")/COUNTA(D2:D9),"—")</f>
        <v/>
      </c>
      <c r="E16" s="14">
        <f>IF(COUNTA(E2:E9),COUNTIF(E2:E9,"&lt;0")/COUNTA(E2:E9),"—")</f>
        <v/>
      </c>
      <c r="F16" s="14">
        <f>IF(COUNTA(F2:F9),COUNTIF(F2:F9,"&lt;0")/COUNTA(F2:F9),"—")</f>
        <v/>
      </c>
      <c r="G16" s="14">
        <f>IF(COUNTA(G2:G9),COUNTIF(G2:G9,"&lt;0")/COUNTA(G2:G9),"—")</f>
        <v/>
      </c>
      <c r="H16" s="14">
        <f>IF(COUNTA(H2:H9),COUNTIF(H2:H9,"&lt;0")/COUNTA(H2:H9),"—")</f>
        <v/>
      </c>
      <c r="I16" s="14">
        <f>IF(COUNTA(I2:I9),COUNTIF(I2:I9,"&lt;0")/COUNTA(I2:I9),"—")</f>
        <v/>
      </c>
      <c r="J16" s="14">
        <f>IF(COUNTA(J2:J9),COUNTIF(J2:J9,"&lt;0")/COUNTA(J2:J9),"—")</f>
        <v/>
      </c>
      <c r="K16" s="14">
        <f>IF(COUNTA(K2:K9),COUNTIF(K2:K9,"&lt;0")/COUNTA(K2:K9),"—")</f>
        <v/>
      </c>
      <c r="L16" s="14">
        <f>IF(COUNTA(L2:L9),COUNTIF(L2:L9,"&lt;0")/COUNTA(L2:L9),"—")</f>
        <v/>
      </c>
      <c r="M16" s="14">
        <f>IF(COUNTA(M2:M9),COUNTIF(M2:M9,"&lt;0")/COUNTA(M2:M9),"—")</f>
        <v/>
      </c>
      <c r="N16" s="14">
        <f>IF(COUNTA(N2:N9),COUNTIF(N2:N9,"&lt;0")/COUNTA(N2:N9),"—")</f>
        <v/>
      </c>
      <c r="O16" s="14">
        <f>IF(COUNTA(O2:O9),COUNTIF(O2:O9,"&lt;0")/COUNTA(O2:O9),"—")</f>
        <v/>
      </c>
      <c r="P16" s="14">
        <f>IF(COUNTA(P2:P9),COUNTIF(P2:P9,"&lt;0")/COUNTA(P2:P9),"—")</f>
        <v/>
      </c>
      <c r="Q16" s="14">
        <f>IF(COUNTA(Q2:Q9),COUNTIF(Q2:Q9,"&lt;0")/COUNTA(Q2:Q9),"—")</f>
        <v/>
      </c>
      <c r="R16" s="14">
        <f>IF(COUNTA(R2:R9),COUNTIF(R2:R9,"&lt;0")/COUNTA(R2:R9),"—")</f>
        <v/>
      </c>
      <c r="S16" s="14">
        <f>IF(COUNTA(S2:S9),COUNTIF(S2:S9,"&lt;0")/COUNTA(S2:S9),"—")</f>
        <v/>
      </c>
      <c r="T16" s="14">
        <f>IF(COUNTA(T2:T9),COUNTIF(T2:T9,"&lt;0")/COUNTA(T2:T9),"—")</f>
        <v/>
      </c>
      <c r="U16" s="14">
        <f>IF(COUNTA(U2:U9),COUNTIF(U2:U9,"&lt;0")/COUNTA(U2:U9),"—")</f>
        <v/>
      </c>
      <c r="V16" s="14">
        <f>IF(COUNTA(V2:V9),COUNTIF(V2:V9,"&lt;0")/COUNTA(V2:V9),"—")</f>
        <v/>
      </c>
      <c r="W16" s="14">
        <f>IF(COUNTA(W2:W9),COUNTIF(W2:W9,"&lt;0")/COUNTA(W2:W9),"—")</f>
        <v/>
      </c>
      <c r="X16" s="14">
        <f>IF(COUNTA(X2:X9),COUNTIF(X2:X9,"&lt;0")/COUNTA(X2:X9),"—")</f>
        <v/>
      </c>
      <c r="Y16" s="14">
        <f>IF(COUNTA(Y2:Y9),COUNTIF(Y2:Y9,"&lt;0")/COUNTA(Y2:Y9),"—")</f>
        <v/>
      </c>
      <c r="Z16" s="14">
        <f>IF(COUNTA(Z2:Z9),COUNTIF(Z2:Z9,"&lt;0")/COUNTA(Z2:Z9),"—")</f>
        <v/>
      </c>
      <c r="AA16" s="14">
        <f>IF(COUNTA(AA2:AA9),COUNTIF(AA2:AA9,"&lt;0")/COUNTA(AA2:AA9),"—")</f>
        <v/>
      </c>
      <c r="AB16" s="14">
        <f>IF(COUNTA(AB2:AB9),COUNTIF(AB2:AB9,"&lt;0")/COUNTA(AB2:AB9),"—")</f>
        <v/>
      </c>
      <c r="AC16" s="14">
        <f>IF(COUNTA(AC2:AC9),COUNTIF(AC2:AC9,"&lt;0")/COUNTA(AC2:AC9),"—")</f>
        <v/>
      </c>
      <c r="AD16" s="14">
        <f>IF(COUNTA(AD2:AD9),COUNTIF(AD2:AD9,"&lt;0")/COUNTA(AD2:AD9),"—")</f>
        <v/>
      </c>
      <c r="AE16" s="14">
        <f>IF(COUNTA(AE2:AE9),COUNTIF(AE2:AE9,"&lt;0")/COUNTA(AE2:AE9),"—")</f>
        <v/>
      </c>
    </row>
  </sheetData>
  <autoFilter ref="A1:AE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.3" customWidth="1" min="1" max="1"/>
  </cols>
  <sheetData>
    <row r="1" ht="70" customHeight="1">
      <c r="A1" s="1" t="inlineStr">
        <is>
          <t>Time</t>
        </is>
      </c>
      <c r="B1" s="1" t="inlineStr">
        <is>
          <t>Club Speed (Mph)</t>
        </is>
      </c>
      <c r="C1" s="1" t="inlineStr">
        <is>
          <t>Ball Speed (Mph)</t>
        </is>
      </c>
      <c r="D1" s="1" t="inlineStr">
        <is>
          <t>Smash Factor</t>
        </is>
      </c>
      <c r="E1" s="1" t="inlineStr">
        <is>
          <t>Carry (Yds)</t>
        </is>
      </c>
      <c r="F1" s="1" t="inlineStr">
        <is>
          <t>Total (Yds)</t>
        </is>
      </c>
      <c r="G1" s="1" t="inlineStr">
        <is>
          <t>Impact Height (mm)</t>
        </is>
      </c>
      <c r="H1" s="1" t="inlineStr">
        <is>
          <t>Impact Offset (mm)</t>
        </is>
      </c>
      <c r="I1" s="1" t="inlineStr">
        <is>
          <t>Club Path (Deg)</t>
        </is>
      </c>
      <c r="J1" s="1" t="inlineStr">
        <is>
          <t>Face Angle (Deg)</t>
        </is>
      </c>
      <c r="K1" s="1" t="inlineStr">
        <is>
          <t>Face To Path (Deg)</t>
        </is>
      </c>
      <c r="L1" s="1" t="inlineStr">
        <is>
          <t>Launch Direction (Deg)</t>
        </is>
      </c>
      <c r="M1" s="1" t="inlineStr">
        <is>
          <t>Attack Angle (Deg)</t>
        </is>
      </c>
      <c r="N1" s="1" t="inlineStr">
        <is>
          <t>Dynamic Loft (Deg)</t>
        </is>
      </c>
      <c r="O1" s="1" t="inlineStr">
        <is>
          <t>Launch Angle (Deg)</t>
        </is>
      </c>
      <c r="P1" s="1" t="inlineStr">
        <is>
          <t>Spin Loft (Deg)</t>
        </is>
      </c>
      <c r="Q1" s="1" t="inlineStr">
        <is>
          <t>Spin Rate (Rpm)</t>
        </is>
      </c>
      <c r="R1" s="1" t="inlineStr">
        <is>
          <t>Spin Axis (Deg)</t>
        </is>
      </c>
      <c r="S1" s="1" t="inlineStr">
        <is>
          <t>Curve (Ft)</t>
        </is>
      </c>
      <c r="T1" s="1" t="inlineStr">
        <is>
          <t>Carry Side (Ft)</t>
        </is>
      </c>
      <c r="U1" s="1" t="inlineStr">
        <is>
          <t>Total Side (Ft)</t>
        </is>
      </c>
      <c r="V1" s="1" t="inlineStr">
        <is>
          <t>Max Height (Ft)</t>
        </is>
      </c>
      <c r="W1" s="1" t="inlineStr">
        <is>
          <t>Landing Angle (Deg)</t>
        </is>
      </c>
      <c r="X1" s="1" t="inlineStr">
        <is>
          <t>Swing Direction (Deg)</t>
        </is>
      </c>
      <c r="Y1" s="1" t="inlineStr">
        <is>
          <t>Swing Plane (Deg)</t>
        </is>
      </c>
      <c r="Z1" s="1" t="inlineStr">
        <is>
          <t>Swing Radius</t>
        </is>
      </c>
      <c r="AA1" s="1" t="inlineStr">
        <is>
          <t>DPlane Tilt</t>
        </is>
      </c>
      <c r="AB1" s="1" t="inlineStr">
        <is>
          <t>Low Point (In)</t>
        </is>
      </c>
      <c r="AC1" s="1" t="inlineStr">
        <is>
          <t>Landing Height</t>
        </is>
      </c>
      <c r="AD1" s="1" t="inlineStr">
        <is>
          <t>Hang Time (Sec)</t>
        </is>
      </c>
      <c r="AE1" s="1" t="inlineStr">
        <is>
          <t>Dynamic Lie (Deg)</t>
        </is>
      </c>
    </row>
    <row r="2">
      <c r="A2" s="2" t="n">
        <v>46100.55734953703</v>
      </c>
      <c r="B2" s="3" t="n">
        <v>85.13</v>
      </c>
      <c r="C2" s="3" t="n">
        <v>114.52</v>
      </c>
      <c r="D2" s="4" t="n">
        <v>1.35</v>
      </c>
      <c r="E2" s="3" t="n">
        <v>170.1</v>
      </c>
      <c r="F2" s="3" t="n">
        <v>196.21</v>
      </c>
      <c r="G2" s="3" t="n">
        <v>-3.06</v>
      </c>
      <c r="H2" s="3" t="n">
        <v>-9.69</v>
      </c>
      <c r="I2" s="3" t="n">
        <v>4.1</v>
      </c>
      <c r="J2" s="3" t="n">
        <v>-1.53</v>
      </c>
      <c r="K2" s="3" t="n">
        <v>-5.63</v>
      </c>
      <c r="L2" s="3" t="n">
        <v>-0.67</v>
      </c>
      <c r="M2" s="5" t="n">
        <v>0.5</v>
      </c>
      <c r="N2" s="3" t="n">
        <v>17.62</v>
      </c>
      <c r="O2" s="3" t="n">
        <v>15.1</v>
      </c>
      <c r="P2" s="3" t="n">
        <v>18.03</v>
      </c>
      <c r="Q2" s="3" t="n">
        <v>3016.41</v>
      </c>
      <c r="R2" s="3" t="n">
        <v>-12.57</v>
      </c>
      <c r="S2" s="3" t="n">
        <v>-40.15</v>
      </c>
      <c r="T2" s="3" t="n">
        <v>-46.12</v>
      </c>
      <c r="U2" s="3" t="n">
        <v>-60.46</v>
      </c>
      <c r="V2" s="3" t="n">
        <v>60.38</v>
      </c>
      <c r="W2" s="3" t="n">
        <v>33.55</v>
      </c>
      <c r="X2" s="3" t="n">
        <v>4.25</v>
      </c>
      <c r="Y2" s="3" t="n">
        <v>63.59</v>
      </c>
      <c r="Z2" s="3" t="n">
        <v>1.43</v>
      </c>
      <c r="AA2" s="3" t="n">
        <v>-17.37</v>
      </c>
      <c r="AB2" s="5" t="n">
        <v>-0.47</v>
      </c>
      <c r="AC2" s="3" t="n">
        <v/>
      </c>
      <c r="AD2" s="3" t="n">
        <v>5.11</v>
      </c>
      <c r="AE2" s="3" t="n">
        <v>56.38</v>
      </c>
    </row>
    <row r="3">
      <c r="A3" s="6" t="n">
        <v>46100.55819444444</v>
      </c>
      <c r="B3" s="7" t="n">
        <v>86.15000000000001</v>
      </c>
      <c r="C3" s="7" t="n">
        <v>112.09</v>
      </c>
      <c r="D3" s="8" t="n">
        <v>1.3</v>
      </c>
      <c r="E3" s="7" t="n">
        <v>165.23</v>
      </c>
      <c r="F3" s="7" t="n">
        <v>187.87</v>
      </c>
      <c r="G3" s="7" t="n">
        <v/>
      </c>
      <c r="H3" s="7" t="n">
        <v/>
      </c>
      <c r="I3" s="7" t="n">
        <v>2.9</v>
      </c>
      <c r="J3" s="7" t="n">
        <v>-1.05</v>
      </c>
      <c r="K3" s="7" t="n">
        <v>-3.96</v>
      </c>
      <c r="L3" s="7" t="n">
        <v>-0.34</v>
      </c>
      <c r="M3" s="9" t="n">
        <v>1.5</v>
      </c>
      <c r="N3" s="7" t="n">
        <v>18.56</v>
      </c>
      <c r="O3" s="7" t="n">
        <v>15.68</v>
      </c>
      <c r="P3" s="7" t="n">
        <v>17.46</v>
      </c>
      <c r="Q3" s="7" t="n">
        <v>3294.14</v>
      </c>
      <c r="R3" s="7" t="n">
        <v>-10.29</v>
      </c>
      <c r="S3" s="7" t="n">
        <v>-33.36</v>
      </c>
      <c r="T3" s="7" t="n">
        <v>-36.32</v>
      </c>
      <c r="U3" s="7" t="n">
        <v>-46.79</v>
      </c>
      <c r="V3" s="7" t="n">
        <v>62.73</v>
      </c>
      <c r="W3" s="7" t="n">
        <v>35.33</v>
      </c>
      <c r="X3" s="7" t="n">
        <v>3.64</v>
      </c>
      <c r="Y3" s="7" t="n">
        <v>65.28</v>
      </c>
      <c r="Z3" s="7" t="n">
        <v>1.51</v>
      </c>
      <c r="AA3" s="7" t="n">
        <v>-12.68</v>
      </c>
      <c r="AB3" s="9" t="n">
        <v>-1.77</v>
      </c>
      <c r="AC3" s="7" t="n">
        <v/>
      </c>
      <c r="AD3" s="7" t="n">
        <v>5.17</v>
      </c>
      <c r="AE3" s="7" t="n">
        <v/>
      </c>
    </row>
    <row r="4">
      <c r="A4" s="2" t="n">
        <v>46100.55755787037</v>
      </c>
      <c r="B4" s="3" t="n">
        <v>85.20999999999999</v>
      </c>
      <c r="C4" s="3" t="n">
        <v>122.54</v>
      </c>
      <c r="D4" s="4" t="n">
        <v>1.44</v>
      </c>
      <c r="E4" s="3" t="n">
        <v>173.79</v>
      </c>
      <c r="F4" s="3" t="n">
        <v>199.42</v>
      </c>
      <c r="G4" s="3" t="n">
        <v/>
      </c>
      <c r="H4" s="3" t="n">
        <v/>
      </c>
      <c r="I4" s="3" t="n">
        <v>1.3</v>
      </c>
      <c r="J4" s="3" t="n">
        <v>-7.18</v>
      </c>
      <c r="K4" s="3" t="n">
        <v>-8.48</v>
      </c>
      <c r="L4" s="3" t="n">
        <v>-5.5</v>
      </c>
      <c r="M4" s="5" t="n">
        <v>-0.5</v>
      </c>
      <c r="N4" s="3" t="n">
        <v>14.56</v>
      </c>
      <c r="O4" s="3" t="n">
        <v>11.67</v>
      </c>
      <c r="P4" s="3" t="n">
        <v>17.34</v>
      </c>
      <c r="Q4" s="3" t="n">
        <v>4039</v>
      </c>
      <c r="R4" s="3" t="n">
        <v>-22.64</v>
      </c>
      <c r="S4" s="3" t="n">
        <v>-85.18000000000001</v>
      </c>
      <c r="T4" s="3" t="n">
        <v>-134.12</v>
      </c>
      <c r="U4" s="3" t="n">
        <v>-169.56</v>
      </c>
      <c r="V4" s="3" t="n">
        <v>56.12</v>
      </c>
      <c r="W4" s="3" t="n">
        <v>32.65</v>
      </c>
      <c r="X4" s="3" t="n">
        <v>1</v>
      </c>
      <c r="Y4" s="3" t="n">
        <v>64.08</v>
      </c>
      <c r="Z4" s="3" t="n">
        <v>1.47</v>
      </c>
      <c r="AA4" s="3" t="n">
        <v>-28.6</v>
      </c>
      <c r="AB4" s="5" t="n">
        <v>0.71</v>
      </c>
      <c r="AC4" s="3" t="n">
        <v/>
      </c>
      <c r="AD4" s="3" t="n">
        <v>5.11</v>
      </c>
      <c r="AE4" s="3" t="n">
        <v/>
      </c>
    </row>
    <row r="5">
      <c r="A5" s="6" t="n">
        <v>46100.55788194444</v>
      </c>
      <c r="B5" s="7" t="n">
        <v>85.98999999999999</v>
      </c>
      <c r="C5" s="7" t="n">
        <v>117.35</v>
      </c>
      <c r="D5" s="8" t="n">
        <v>1.36</v>
      </c>
      <c r="E5" s="7" t="n">
        <v>171.56</v>
      </c>
      <c r="F5" s="7" t="n">
        <v>186.13</v>
      </c>
      <c r="G5" s="7" t="n">
        <v/>
      </c>
      <c r="H5" s="7" t="n">
        <v/>
      </c>
      <c r="I5" s="7" t="n">
        <v>0.7</v>
      </c>
      <c r="J5" s="7" t="n">
        <v>-6.21</v>
      </c>
      <c r="K5" s="7" t="n">
        <v>-6.92</v>
      </c>
      <c r="L5" s="7" t="n">
        <v>-5.01</v>
      </c>
      <c r="M5" s="9" t="n">
        <v>-2.3</v>
      </c>
      <c r="N5" s="7" t="n">
        <v>18.93</v>
      </c>
      <c r="O5" s="7" t="n">
        <v>15.5</v>
      </c>
      <c r="P5" s="7" t="n">
        <v>22.43</v>
      </c>
      <c r="Q5" s="7" t="n">
        <v>4215.4</v>
      </c>
      <c r="R5" s="7" t="n">
        <v>-14.27</v>
      </c>
      <c r="S5" s="7" t="n">
        <v>-56.75</v>
      </c>
      <c r="T5" s="7" t="n">
        <v>-101.24</v>
      </c>
      <c r="U5" s="7" t="n">
        <v>-116.44</v>
      </c>
      <c r="V5" s="7" t="n">
        <v>73.81</v>
      </c>
      <c r="W5" s="7" t="n">
        <v>39.67</v>
      </c>
      <c r="X5" s="7" t="n">
        <v>-0.65</v>
      </c>
      <c r="Y5" s="7" t="n">
        <v>59.12</v>
      </c>
      <c r="Z5" s="7" t="n">
        <v>1.45</v>
      </c>
      <c r="AA5" s="7" t="n">
        <v>-17.6</v>
      </c>
      <c r="AB5" s="9" t="n">
        <v>2.8</v>
      </c>
      <c r="AC5" s="7" t="n">
        <v/>
      </c>
      <c r="AD5" s="7" t="n">
        <v>5.6</v>
      </c>
      <c r="AE5" s="7" t="n">
        <v/>
      </c>
    </row>
    <row r="6">
      <c r="A6" s="2" t="n">
        <v>46100.55770833333</v>
      </c>
      <c r="B6" s="3" t="n">
        <v>85.23999999999999</v>
      </c>
      <c r="C6" s="3" t="n">
        <v>107.55</v>
      </c>
      <c r="D6" s="4" t="n">
        <v>1.26</v>
      </c>
      <c r="E6" s="3" t="n">
        <v>155.99</v>
      </c>
      <c r="F6" s="3" t="n">
        <v>184.02</v>
      </c>
      <c r="G6" s="3" t="n">
        <v/>
      </c>
      <c r="H6" s="3" t="n">
        <v/>
      </c>
      <c r="I6" s="3" t="n">
        <v>2.5</v>
      </c>
      <c r="J6" s="3" t="n">
        <v>0.36</v>
      </c>
      <c r="K6" s="3" t="n">
        <v>-2.14</v>
      </c>
      <c r="L6" s="3" t="n">
        <v>0.6899999999999999</v>
      </c>
      <c r="M6" s="5" t="n">
        <v>0.5</v>
      </c>
      <c r="N6" s="3" t="n">
        <v>18.3</v>
      </c>
      <c r="O6" s="3" t="n">
        <v>15.62</v>
      </c>
      <c r="P6" s="3" t="n">
        <v>17.88</v>
      </c>
      <c r="Q6" s="3" t="n">
        <v>2881.41</v>
      </c>
      <c r="R6" s="3" t="n">
        <v>-5.19</v>
      </c>
      <c r="S6" s="3" t="n">
        <v>-13.92</v>
      </c>
      <c r="T6" s="3" t="n">
        <v>-8.31</v>
      </c>
      <c r="U6" s="3" t="n">
        <v>-12.7</v>
      </c>
      <c r="V6" s="3" t="n">
        <v>53.79</v>
      </c>
      <c r="W6" s="3" t="n">
        <v>32.09</v>
      </c>
      <c r="X6" s="3" t="n">
        <v>2.67</v>
      </c>
      <c r="Y6" s="3" t="n">
        <v>66.76000000000001</v>
      </c>
      <c r="Z6" s="3" t="n">
        <v>1.43</v>
      </c>
      <c r="AA6" s="3" t="n">
        <v>-6.46</v>
      </c>
      <c r="AB6" s="5" t="n">
        <v>-0.55</v>
      </c>
      <c r="AC6" s="3" t="n">
        <v/>
      </c>
      <c r="AD6" s="3" t="n">
        <v>4.78</v>
      </c>
      <c r="AE6" s="3" t="n">
        <v/>
      </c>
    </row>
    <row r="7">
      <c r="A7" s="6" t="n">
        <v>46100.55803240741</v>
      </c>
      <c r="B7" s="7" t="n">
        <v>83.7</v>
      </c>
      <c r="C7" s="7" t="n">
        <v>116.64</v>
      </c>
      <c r="D7" s="8" t="n">
        <v>1.39</v>
      </c>
      <c r="E7" s="7" t="n">
        <v>176.39</v>
      </c>
      <c r="F7" s="7" t="n">
        <v>195.54</v>
      </c>
      <c r="G7" s="7" t="n">
        <v/>
      </c>
      <c r="H7" s="7" t="n">
        <v/>
      </c>
      <c r="I7" s="7" t="n">
        <v>2.3</v>
      </c>
      <c r="J7" s="7" t="n">
        <v>-1.76</v>
      </c>
      <c r="K7" s="7" t="n">
        <v>-4.06</v>
      </c>
      <c r="L7" s="7" t="n">
        <v>-1.15</v>
      </c>
      <c r="M7" s="9" t="n">
        <v>-0.5</v>
      </c>
      <c r="N7" s="7" t="n">
        <v>18.91</v>
      </c>
      <c r="O7" s="7" t="n">
        <v>16.12</v>
      </c>
      <c r="P7" s="7" t="n">
        <v>19.91</v>
      </c>
      <c r="Q7" s="7" t="n">
        <v>3299</v>
      </c>
      <c r="R7" s="7" t="n">
        <v>-9.41</v>
      </c>
      <c r="S7" s="7" t="n">
        <v>-34.62</v>
      </c>
      <c r="T7" s="7" t="n">
        <v>-45.19</v>
      </c>
      <c r="U7" s="7" t="n">
        <v>-54.69</v>
      </c>
      <c r="V7" s="7" t="n">
        <v>72.04000000000001</v>
      </c>
      <c r="W7" s="7" t="n">
        <v>37.68</v>
      </c>
      <c r="X7" s="7" t="n">
        <v>1.98</v>
      </c>
      <c r="Y7" s="7" t="n">
        <v>63.19</v>
      </c>
      <c r="Z7" s="7" t="n">
        <v>1.49</v>
      </c>
      <c r="AA7" s="7" t="n">
        <v>-11.3</v>
      </c>
      <c r="AB7" s="9" t="n">
        <v>0.67</v>
      </c>
      <c r="AC7" s="7" t="n">
        <v/>
      </c>
      <c r="AD7" s="7" t="n">
        <v>5.51</v>
      </c>
      <c r="AE7" s="7" t="n">
        <v/>
      </c>
    </row>
    <row r="9">
      <c r="A9" s="10" t="inlineStr">
        <is>
          <t>Pos Av</t>
        </is>
      </c>
      <c r="B9" s="11">
        <f>IF(COUNTIF(B2:B7,"&gt;0"),AVERAGEIF(B2:B7,"&gt;0"),"—")</f>
        <v/>
      </c>
      <c r="C9" s="11">
        <f>IF(COUNTIF(C2:C7,"&gt;0"),AVERAGEIF(C2:C7,"&gt;0"),"—")</f>
        <v/>
      </c>
      <c r="D9" s="12">
        <f>IF(COUNTIF(D2:D7,"&gt;0"),AVERAGEIF(D2:D7,"&gt;0"),"—")</f>
        <v/>
      </c>
      <c r="E9" s="11">
        <f>IF(COUNTIF(E2:E7,"&gt;0"),AVERAGEIF(E2:E7,"&gt;0"),"—")</f>
        <v/>
      </c>
      <c r="F9" s="11">
        <f>IF(COUNTIF(F2:F7,"&gt;0"),AVERAGEIF(F2:F7,"&gt;0"),"—")</f>
        <v/>
      </c>
      <c r="G9" s="11">
        <f>IF(COUNTIF(G2:G7,"&gt;0"),AVERAGEIF(G2:G7,"&gt;0"),"—")</f>
        <v/>
      </c>
      <c r="H9" s="11">
        <f>IF(COUNTIF(H2:H7,"&gt;0"),AVERAGEIF(H2:H7,"&gt;0"),"—")</f>
        <v/>
      </c>
      <c r="I9" s="11">
        <f>IF(COUNTIF(I2:I7,"&gt;0"),AVERAGEIF(I2:I7,"&gt;0"),"—")</f>
        <v/>
      </c>
      <c r="J9" s="11">
        <f>IF(COUNTIF(J2:J7,"&gt;0"),AVERAGEIF(J2:J7,"&gt;0"),"—")</f>
        <v/>
      </c>
      <c r="K9" s="11">
        <f>IF(COUNTIF(K2:K7,"&gt;0"),AVERAGEIF(K2:K7,"&gt;0"),"—")</f>
        <v/>
      </c>
      <c r="L9" s="11">
        <f>IF(COUNTIF(L2:L7,"&gt;0"),AVERAGEIF(L2:L7,"&gt;0"),"—")</f>
        <v/>
      </c>
      <c r="M9" s="13">
        <f>IF(COUNTIF(M2:M7,"&gt;0"),AVERAGEIF(M2:M7,"&gt;0"),"—")</f>
        <v/>
      </c>
      <c r="N9" s="11">
        <f>IF(COUNTIF(N2:N7,"&gt;0"),AVERAGEIF(N2:N7,"&gt;0"),"—")</f>
        <v/>
      </c>
      <c r="O9" s="11">
        <f>IF(COUNTIF(O2:O7,"&gt;0"),AVERAGEIF(O2:O7,"&gt;0"),"—")</f>
        <v/>
      </c>
      <c r="P9" s="11">
        <f>IF(COUNTIF(P2:P7,"&gt;0"),AVERAGEIF(P2:P7,"&gt;0"),"—")</f>
        <v/>
      </c>
      <c r="Q9" s="11">
        <f>IF(COUNTIF(Q2:Q7,"&gt;0"),AVERAGEIF(Q2:Q7,"&gt;0"),"—")</f>
        <v/>
      </c>
      <c r="R9" s="11">
        <f>IF(COUNTIF(R2:R7,"&gt;0"),AVERAGEIF(R2:R7,"&gt;0"),"—")</f>
        <v/>
      </c>
      <c r="S9" s="11">
        <f>IF(COUNTIF(S2:S7,"&gt;0"),AVERAGEIF(S2:S7,"&gt;0"),"—")</f>
        <v/>
      </c>
      <c r="T9" s="11">
        <f>IF(COUNTIF(T2:T7,"&gt;0"),AVERAGEIF(T2:T7,"&gt;0"),"—")</f>
        <v/>
      </c>
      <c r="U9" s="11">
        <f>IF(COUNTIF(U2:U7,"&gt;0"),AVERAGEIF(U2:U7,"&gt;0"),"—")</f>
        <v/>
      </c>
      <c r="V9" s="11">
        <f>IF(COUNTIF(V2:V7,"&gt;0"),AVERAGEIF(V2:V7,"&gt;0"),"—")</f>
        <v/>
      </c>
      <c r="W9" s="11">
        <f>IF(COUNTIF(W2:W7,"&gt;0"),AVERAGEIF(W2:W7,"&gt;0"),"—")</f>
        <v/>
      </c>
      <c r="X9" s="11">
        <f>IF(COUNTIF(X2:X7,"&gt;0"),AVERAGEIF(X2:X7,"&gt;0"),"—")</f>
        <v/>
      </c>
      <c r="Y9" s="11">
        <f>IF(COUNTIF(Y2:Y7,"&gt;0"),AVERAGEIF(Y2:Y7,"&gt;0"),"—")</f>
        <v/>
      </c>
      <c r="Z9" s="11">
        <f>IF(COUNTIF(Z2:Z7,"&gt;0"),AVERAGEIF(Z2:Z7,"&gt;0"),"—")</f>
        <v/>
      </c>
      <c r="AA9" s="11">
        <f>IF(COUNTIF(AA2:AA7,"&gt;0"),AVERAGEIF(AA2:AA7,"&gt;0"),"—")</f>
        <v/>
      </c>
      <c r="AB9" s="13">
        <f>IF(COUNTIF(AB2:AB7,"&gt;0"),AVERAGEIF(AB2:AB7,"&gt;0"),"—")</f>
        <v/>
      </c>
      <c r="AC9" s="11">
        <f>IF(COUNTIF(AC2:AC7,"&gt;0"),AVERAGEIF(AC2:AC7,"&gt;0"),"—")</f>
        <v/>
      </c>
      <c r="AD9" s="11">
        <f>IF(COUNTIF(AD2:AD7,"&gt;0"),AVERAGEIF(AD2:AD7,"&gt;0"),"—")</f>
        <v/>
      </c>
      <c r="AE9" s="11">
        <f>IF(COUNTIF(AE2:AE7,"&gt;0"),AVERAGEIF(AE2:AE7,"&gt;0"),"—")</f>
        <v/>
      </c>
    </row>
    <row r="10">
      <c r="A10" s="10" t="inlineStr">
        <is>
          <t>Neg Av</t>
        </is>
      </c>
      <c r="B10" s="11">
        <f>IF(COUNTIF(B2:B7,"&lt;0"),AVERAGEIF(B2:B7,"&lt;0"),"—")</f>
        <v/>
      </c>
      <c r="C10" s="11">
        <f>IF(COUNTIF(C2:C7,"&lt;0"),AVERAGEIF(C2:C7,"&lt;0"),"—")</f>
        <v/>
      </c>
      <c r="D10" s="12">
        <f>IF(COUNTIF(D2:D7,"&lt;0"),AVERAGEIF(D2:D7,"&lt;0"),"—")</f>
        <v/>
      </c>
      <c r="E10" s="11">
        <f>IF(COUNTIF(E2:E7,"&lt;0"),AVERAGEIF(E2:E7,"&lt;0"),"—")</f>
        <v/>
      </c>
      <c r="F10" s="11">
        <f>IF(COUNTIF(F2:F7,"&lt;0"),AVERAGEIF(F2:F7,"&lt;0"),"—")</f>
        <v/>
      </c>
      <c r="G10" s="11">
        <f>IF(COUNTIF(G2:G7,"&lt;0"),AVERAGEIF(G2:G7,"&lt;0"),"—")</f>
        <v/>
      </c>
      <c r="H10" s="11">
        <f>IF(COUNTIF(H2:H7,"&lt;0"),AVERAGEIF(H2:H7,"&lt;0"),"—")</f>
        <v/>
      </c>
      <c r="I10" s="11">
        <f>IF(COUNTIF(I2:I7,"&lt;0"),AVERAGEIF(I2:I7,"&lt;0"),"—")</f>
        <v/>
      </c>
      <c r="J10" s="11">
        <f>IF(COUNTIF(J2:J7,"&lt;0"),AVERAGEIF(J2:J7,"&lt;0"),"—")</f>
        <v/>
      </c>
      <c r="K10" s="11">
        <f>IF(COUNTIF(K2:K7,"&lt;0"),AVERAGEIF(K2:K7,"&lt;0"),"—")</f>
        <v/>
      </c>
      <c r="L10" s="11">
        <f>IF(COUNTIF(L2:L7,"&lt;0"),AVERAGEIF(L2:L7,"&lt;0"),"—")</f>
        <v/>
      </c>
      <c r="M10" s="13">
        <f>IF(COUNTIF(M2:M7,"&lt;0"),AVERAGEIF(M2:M7,"&lt;0"),"—")</f>
        <v/>
      </c>
      <c r="N10" s="11">
        <f>IF(COUNTIF(N2:N7,"&lt;0"),AVERAGEIF(N2:N7,"&lt;0"),"—")</f>
        <v/>
      </c>
      <c r="O10" s="11">
        <f>IF(COUNTIF(O2:O7,"&lt;0"),AVERAGEIF(O2:O7,"&lt;0"),"—")</f>
        <v/>
      </c>
      <c r="P10" s="11">
        <f>IF(COUNTIF(P2:P7,"&lt;0"),AVERAGEIF(P2:P7,"&lt;0"),"—")</f>
        <v/>
      </c>
      <c r="Q10" s="11">
        <f>IF(COUNTIF(Q2:Q7,"&lt;0"),AVERAGEIF(Q2:Q7,"&lt;0"),"—")</f>
        <v/>
      </c>
      <c r="R10" s="11">
        <f>IF(COUNTIF(R2:R7,"&lt;0"),AVERAGEIF(R2:R7,"&lt;0"),"—")</f>
        <v/>
      </c>
      <c r="S10" s="11">
        <f>IF(COUNTIF(S2:S7,"&lt;0"),AVERAGEIF(S2:S7,"&lt;0"),"—")</f>
        <v/>
      </c>
      <c r="T10" s="11">
        <f>IF(COUNTIF(T2:T7,"&lt;0"),AVERAGEIF(T2:T7,"&lt;0"),"—")</f>
        <v/>
      </c>
      <c r="U10" s="11">
        <f>IF(COUNTIF(U2:U7,"&lt;0"),AVERAGEIF(U2:U7,"&lt;0"),"—")</f>
        <v/>
      </c>
      <c r="V10" s="11">
        <f>IF(COUNTIF(V2:V7,"&lt;0"),AVERAGEIF(V2:V7,"&lt;0"),"—")</f>
        <v/>
      </c>
      <c r="W10" s="11">
        <f>IF(COUNTIF(W2:W7,"&lt;0"),AVERAGEIF(W2:W7,"&lt;0"),"—")</f>
        <v/>
      </c>
      <c r="X10" s="11">
        <f>IF(COUNTIF(X2:X7,"&lt;0"),AVERAGEIF(X2:X7,"&lt;0"),"—")</f>
        <v/>
      </c>
      <c r="Y10" s="11">
        <f>IF(COUNTIF(Y2:Y7,"&lt;0"),AVERAGEIF(Y2:Y7,"&lt;0"),"—")</f>
        <v/>
      </c>
      <c r="Z10" s="11">
        <f>IF(COUNTIF(Z2:Z7,"&lt;0"),AVERAGEIF(Z2:Z7,"&lt;0"),"—")</f>
        <v/>
      </c>
      <c r="AA10" s="11">
        <f>IF(COUNTIF(AA2:AA7,"&lt;0"),AVERAGEIF(AA2:AA7,"&lt;0"),"—")</f>
        <v/>
      </c>
      <c r="AB10" s="13">
        <f>IF(COUNTIF(AB2:AB7,"&lt;0"),AVERAGEIF(AB2:AB7,"&lt;0"),"—")</f>
        <v/>
      </c>
      <c r="AC10" s="11">
        <f>IF(COUNTIF(AC2:AC7,"&lt;0"),AVERAGEIF(AC2:AC7,"&lt;0"),"—")</f>
        <v/>
      </c>
      <c r="AD10" s="11">
        <f>IF(COUNTIF(AD2:AD7,"&lt;0"),AVERAGEIF(AD2:AD7,"&lt;0"),"—")</f>
        <v/>
      </c>
      <c r="AE10" s="11">
        <f>IF(COUNTIF(AE2:AE7,"&lt;0"),AVERAGEIF(AE2:AE7,"&lt;0"),"—")</f>
        <v/>
      </c>
    </row>
    <row r="11">
      <c r="A11" s="10" t="inlineStr">
        <is>
          <t>1 Av</t>
        </is>
      </c>
      <c r="B11" s="11">
        <f>IF(COUNTA(B2:B7),AVERAGE(B2:B7),"—")</f>
        <v/>
      </c>
      <c r="C11" s="11">
        <f>IF(COUNTA(C2:C7),AVERAGE(C2:C7),"—")</f>
        <v/>
      </c>
      <c r="D11" s="12">
        <f>IF(COUNTA(D2:D7),AVERAGE(D2:D7),"—")</f>
        <v/>
      </c>
      <c r="E11" s="11">
        <f>IF(COUNTA(E2:E7),AVERAGE(E2:E7),"—")</f>
        <v/>
      </c>
      <c r="F11" s="11">
        <f>IF(COUNTA(F2:F7),AVERAGE(F2:F7),"—")</f>
        <v/>
      </c>
      <c r="G11" s="11">
        <f>IF(COUNTA(G2:G7),AVERAGE(G2:G7),"—")</f>
        <v/>
      </c>
      <c r="H11" s="11">
        <f>IF(COUNTA(H2:H7),AVERAGE(H2:H7),"—")</f>
        <v/>
      </c>
      <c r="I11" s="11">
        <f>IF(COUNTA(I2:I7),AVERAGE(I2:I7),"—")</f>
        <v/>
      </c>
      <c r="J11" s="11">
        <f>IF(COUNTA(J2:J7),AVERAGE(J2:J7),"—")</f>
        <v/>
      </c>
      <c r="K11" s="11">
        <f>IF(COUNTA(K2:K7),AVERAGE(K2:K7),"—")</f>
        <v/>
      </c>
      <c r="L11" s="11">
        <f>IF(COUNTA(L2:L7),AVERAGE(L2:L7),"—")</f>
        <v/>
      </c>
      <c r="M11" s="13">
        <f>IF(COUNTA(M2:M7),AVERAGE(M2:M7),"—")</f>
        <v/>
      </c>
      <c r="N11" s="11">
        <f>IF(COUNTA(N2:N7),AVERAGE(N2:N7),"—")</f>
        <v/>
      </c>
      <c r="O11" s="11">
        <f>IF(COUNTA(O2:O7),AVERAGE(O2:O7),"—")</f>
        <v/>
      </c>
      <c r="P11" s="11">
        <f>IF(COUNTA(P2:P7),AVERAGE(P2:P7),"—")</f>
        <v/>
      </c>
      <c r="Q11" s="11">
        <f>IF(COUNTA(Q2:Q7),AVERAGE(Q2:Q7),"—")</f>
        <v/>
      </c>
      <c r="R11" s="11">
        <f>IF(COUNTA(R2:R7),AVERAGE(R2:R7),"—")</f>
        <v/>
      </c>
      <c r="S11" s="11">
        <f>IF(COUNTA(S2:S7),AVERAGE(S2:S7),"—")</f>
        <v/>
      </c>
      <c r="T11" s="11">
        <f>IF(COUNTA(T2:T7),AVERAGE(T2:T7),"—")</f>
        <v/>
      </c>
      <c r="U11" s="11">
        <f>IF(COUNTA(U2:U7),AVERAGE(U2:U7),"—")</f>
        <v/>
      </c>
      <c r="V11" s="11">
        <f>IF(COUNTA(V2:V7),AVERAGE(V2:V7),"—")</f>
        <v/>
      </c>
      <c r="W11" s="11">
        <f>IF(COUNTA(W2:W7),AVERAGE(W2:W7),"—")</f>
        <v/>
      </c>
      <c r="X11" s="11">
        <f>IF(COUNTA(X2:X7),AVERAGE(X2:X7),"—")</f>
        <v/>
      </c>
      <c r="Y11" s="11">
        <f>IF(COUNTA(Y2:Y7),AVERAGE(Y2:Y7),"—")</f>
        <v/>
      </c>
      <c r="Z11" s="11">
        <f>IF(COUNTA(Z2:Z7),AVERAGE(Z2:Z7),"—")</f>
        <v/>
      </c>
      <c r="AA11" s="11">
        <f>IF(COUNTA(AA2:AA7),AVERAGE(AA2:AA7),"—")</f>
        <v/>
      </c>
      <c r="AB11" s="13">
        <f>IF(COUNTA(AB2:AB7),AVERAGE(AB2:AB7),"—")</f>
        <v/>
      </c>
      <c r="AC11" s="11">
        <f>IF(COUNTA(AC2:AC7),AVERAGE(AC2:AC7),"—")</f>
        <v/>
      </c>
      <c r="AD11" s="11">
        <f>IF(COUNTA(AD2:AD7),AVERAGE(AD2:AD7),"—")</f>
        <v/>
      </c>
      <c r="AE11" s="11">
        <f>IF(COUNTA(AE2:AE7),AVERAGE(AE2:AE7),"—")</f>
        <v/>
      </c>
    </row>
    <row r="12">
      <c r="A12" s="10" t="inlineStr">
        <is>
          <t>Spread</t>
        </is>
      </c>
      <c r="B12" s="11">
        <f>IF(AND(ISNUMBER(B9),ISNUMBER(B10)),B9-B10,"—")</f>
        <v/>
      </c>
      <c r="C12" s="11">
        <f>IF(AND(ISNUMBER(C9),ISNUMBER(C10)),C9-C10,"—")</f>
        <v/>
      </c>
      <c r="D12" s="12">
        <f>IF(AND(ISNUMBER(D9),ISNUMBER(D10)),D9-D10,"—")</f>
        <v/>
      </c>
      <c r="E12" s="11">
        <f>IF(AND(ISNUMBER(E9),ISNUMBER(E10)),E9-E10,"—")</f>
        <v/>
      </c>
      <c r="F12" s="11">
        <f>IF(AND(ISNUMBER(F9),ISNUMBER(F10)),F9-F10,"—")</f>
        <v/>
      </c>
      <c r="G12" s="11">
        <f>IF(AND(ISNUMBER(G9),ISNUMBER(G10)),G9-G10,"—")</f>
        <v/>
      </c>
      <c r="H12" s="11">
        <f>IF(AND(ISNUMBER(H9),ISNUMBER(H10)),H9-H10,"—")</f>
        <v/>
      </c>
      <c r="I12" s="11">
        <f>IF(AND(ISNUMBER(I9),ISNUMBER(I10)),I9-I10,"—")</f>
        <v/>
      </c>
      <c r="J12" s="11">
        <f>IF(AND(ISNUMBER(J9),ISNUMBER(J10)),J9-J10,"—")</f>
        <v/>
      </c>
      <c r="K12" s="11">
        <f>IF(AND(ISNUMBER(K9),ISNUMBER(K10)),K9-K10,"—")</f>
        <v/>
      </c>
      <c r="L12" s="11">
        <f>IF(AND(ISNUMBER(L9),ISNUMBER(L10)),L9-L10,"—")</f>
        <v/>
      </c>
      <c r="M12" s="13">
        <f>IF(AND(ISNUMBER(M9),ISNUMBER(M10)),M9-M10,"—")</f>
        <v/>
      </c>
      <c r="N12" s="11">
        <f>IF(AND(ISNUMBER(N9),ISNUMBER(N10)),N9-N10,"—")</f>
        <v/>
      </c>
      <c r="O12" s="11">
        <f>IF(AND(ISNUMBER(O9),ISNUMBER(O10)),O9-O10,"—")</f>
        <v/>
      </c>
      <c r="P12" s="11">
        <f>IF(AND(ISNUMBER(P9),ISNUMBER(P10)),P9-P10,"—")</f>
        <v/>
      </c>
      <c r="Q12" s="11">
        <f>IF(AND(ISNUMBER(Q9),ISNUMBER(Q10)),Q9-Q10,"—")</f>
        <v/>
      </c>
      <c r="R12" s="11">
        <f>IF(AND(ISNUMBER(R9),ISNUMBER(R10)),R9-R10,"—")</f>
        <v/>
      </c>
      <c r="S12" s="11">
        <f>IF(AND(ISNUMBER(S9),ISNUMBER(S10)),S9-S10,"—")</f>
        <v/>
      </c>
      <c r="T12" s="11">
        <f>IF(AND(ISNUMBER(T9),ISNUMBER(T10)),T9-T10,"—")</f>
        <v/>
      </c>
      <c r="U12" s="11">
        <f>IF(AND(ISNUMBER(U9),ISNUMBER(U10)),U9-U10,"—")</f>
        <v/>
      </c>
      <c r="V12" s="11">
        <f>IF(AND(ISNUMBER(V9),ISNUMBER(V10)),V9-V10,"—")</f>
        <v/>
      </c>
      <c r="W12" s="11">
        <f>IF(AND(ISNUMBER(W9),ISNUMBER(W10)),W9-W10,"—")</f>
        <v/>
      </c>
      <c r="X12" s="11">
        <f>IF(AND(ISNUMBER(X9),ISNUMBER(X10)),X9-X10,"—")</f>
        <v/>
      </c>
      <c r="Y12" s="11">
        <f>IF(AND(ISNUMBER(Y9),ISNUMBER(Y10)),Y9-Y10,"—")</f>
        <v/>
      </c>
      <c r="Z12" s="11">
        <f>IF(AND(ISNUMBER(Z9),ISNUMBER(Z10)),Z9-Z10,"—")</f>
        <v/>
      </c>
      <c r="AA12" s="11">
        <f>IF(AND(ISNUMBER(AA9),ISNUMBER(AA10)),AA9-AA10,"—")</f>
        <v/>
      </c>
      <c r="AB12" s="13">
        <f>IF(AND(ISNUMBER(AB9),ISNUMBER(AB10)),AB9-AB10,"—")</f>
        <v/>
      </c>
      <c r="AC12" s="11">
        <f>IF(AND(ISNUMBER(AC9),ISNUMBER(AC10)),AC9-AC10,"—")</f>
        <v/>
      </c>
      <c r="AD12" s="11">
        <f>IF(AND(ISNUMBER(AD9),ISNUMBER(AD10)),AD9-AD10,"—")</f>
        <v/>
      </c>
      <c r="AE12" s="11">
        <f>IF(AND(ISNUMBER(AE9),ISNUMBER(AE10)),AE9-AE10,"—")</f>
        <v/>
      </c>
    </row>
    <row r="13">
      <c r="A13" s="10" t="inlineStr">
        <is>
          <t>% Pos</t>
        </is>
      </c>
      <c r="B13" s="14">
        <f>IF(COUNTA(B2:B7),COUNTIF(B2:B7,"&gt;0")/COUNTA(B2:B7),"—")</f>
        <v/>
      </c>
      <c r="C13" s="14">
        <f>IF(COUNTA(C2:C7),COUNTIF(C2:C7,"&gt;0")/COUNTA(C2:C7),"—")</f>
        <v/>
      </c>
      <c r="D13" s="14">
        <f>IF(COUNTA(D2:D7),COUNTIF(D2:D7,"&gt;0")/COUNTA(D2:D7),"—")</f>
        <v/>
      </c>
      <c r="E13" s="14">
        <f>IF(COUNTA(E2:E7),COUNTIF(E2:E7,"&gt;0")/COUNTA(E2:E7),"—")</f>
        <v/>
      </c>
      <c r="F13" s="14">
        <f>IF(COUNTA(F2:F7),COUNTIF(F2:F7,"&gt;0")/COUNTA(F2:F7),"—")</f>
        <v/>
      </c>
      <c r="G13" s="14">
        <f>IF(COUNTA(G2:G7),COUNTIF(G2:G7,"&gt;0")/COUNTA(G2:G7),"—")</f>
        <v/>
      </c>
      <c r="H13" s="14">
        <f>IF(COUNTA(H2:H7),COUNTIF(H2:H7,"&gt;0")/COUNTA(H2:H7),"—")</f>
        <v/>
      </c>
      <c r="I13" s="14">
        <f>IF(COUNTA(I2:I7),COUNTIF(I2:I7,"&gt;0")/COUNTA(I2:I7),"—")</f>
        <v/>
      </c>
      <c r="J13" s="14">
        <f>IF(COUNTA(J2:J7),COUNTIF(J2:J7,"&gt;0")/COUNTA(J2:J7),"—")</f>
        <v/>
      </c>
      <c r="K13" s="14">
        <f>IF(COUNTA(K2:K7),COUNTIF(K2:K7,"&gt;0")/COUNTA(K2:K7),"—")</f>
        <v/>
      </c>
      <c r="L13" s="14">
        <f>IF(COUNTA(L2:L7),COUNTIF(L2:L7,"&gt;0")/COUNTA(L2:L7),"—")</f>
        <v/>
      </c>
      <c r="M13" s="14">
        <f>IF(COUNTA(M2:M7),COUNTIF(M2:M7,"&gt;0")/COUNTA(M2:M7),"—")</f>
        <v/>
      </c>
      <c r="N13" s="14">
        <f>IF(COUNTA(N2:N7),COUNTIF(N2:N7,"&gt;0")/COUNTA(N2:N7),"—")</f>
        <v/>
      </c>
      <c r="O13" s="14">
        <f>IF(COUNTA(O2:O7),COUNTIF(O2:O7,"&gt;0")/COUNTA(O2:O7),"—")</f>
        <v/>
      </c>
      <c r="P13" s="14">
        <f>IF(COUNTA(P2:P7),COUNTIF(P2:P7,"&gt;0")/COUNTA(P2:P7),"—")</f>
        <v/>
      </c>
      <c r="Q13" s="14">
        <f>IF(COUNTA(Q2:Q7),COUNTIF(Q2:Q7,"&gt;0")/COUNTA(Q2:Q7),"—")</f>
        <v/>
      </c>
      <c r="R13" s="14">
        <f>IF(COUNTA(R2:R7),COUNTIF(R2:R7,"&gt;0")/COUNTA(R2:R7),"—")</f>
        <v/>
      </c>
      <c r="S13" s="14">
        <f>IF(COUNTA(S2:S7),COUNTIF(S2:S7,"&gt;0")/COUNTA(S2:S7),"—")</f>
        <v/>
      </c>
      <c r="T13" s="14">
        <f>IF(COUNTA(T2:T7),COUNTIF(T2:T7,"&gt;0")/COUNTA(T2:T7),"—")</f>
        <v/>
      </c>
      <c r="U13" s="14">
        <f>IF(COUNTA(U2:U7),COUNTIF(U2:U7,"&gt;0")/COUNTA(U2:U7),"—")</f>
        <v/>
      </c>
      <c r="V13" s="14">
        <f>IF(COUNTA(V2:V7),COUNTIF(V2:V7,"&gt;0")/COUNTA(V2:V7),"—")</f>
        <v/>
      </c>
      <c r="W13" s="14">
        <f>IF(COUNTA(W2:W7),COUNTIF(W2:W7,"&gt;0")/COUNTA(W2:W7),"—")</f>
        <v/>
      </c>
      <c r="X13" s="14">
        <f>IF(COUNTA(X2:X7),COUNTIF(X2:X7,"&gt;0")/COUNTA(X2:X7),"—")</f>
        <v/>
      </c>
      <c r="Y13" s="14">
        <f>IF(COUNTA(Y2:Y7),COUNTIF(Y2:Y7,"&gt;0")/COUNTA(Y2:Y7),"—")</f>
        <v/>
      </c>
      <c r="Z13" s="14">
        <f>IF(COUNTA(Z2:Z7),COUNTIF(Z2:Z7,"&gt;0")/COUNTA(Z2:Z7),"—")</f>
        <v/>
      </c>
      <c r="AA13" s="14">
        <f>IF(COUNTA(AA2:AA7),COUNTIF(AA2:AA7,"&gt;0")/COUNTA(AA2:AA7),"—")</f>
        <v/>
      </c>
      <c r="AB13" s="14">
        <f>IF(COUNTA(AB2:AB7),COUNTIF(AB2:AB7,"&gt;0")/COUNTA(AB2:AB7),"—")</f>
        <v/>
      </c>
      <c r="AC13" s="14">
        <f>IF(COUNTA(AC2:AC7),COUNTIF(AC2:AC7,"&gt;0")/COUNTA(AC2:AC7),"—")</f>
        <v/>
      </c>
      <c r="AD13" s="14">
        <f>IF(COUNTA(AD2:AD7),COUNTIF(AD2:AD7,"&gt;0")/COUNTA(AD2:AD7),"—")</f>
        <v/>
      </c>
      <c r="AE13" s="14">
        <f>IF(COUNTA(AE2:AE7),COUNTIF(AE2:AE7,"&gt;0")/COUNTA(AE2:AE7),"—")</f>
        <v/>
      </c>
    </row>
    <row r="14">
      <c r="A14" s="10" t="inlineStr">
        <is>
          <t>% Neg</t>
        </is>
      </c>
      <c r="B14" s="14">
        <f>IF(COUNTA(B2:B7),COUNTIF(B2:B7,"&lt;0")/COUNTA(B2:B7),"—")</f>
        <v/>
      </c>
      <c r="C14" s="14">
        <f>IF(COUNTA(C2:C7),COUNTIF(C2:C7,"&lt;0")/COUNTA(C2:C7),"—")</f>
        <v/>
      </c>
      <c r="D14" s="14">
        <f>IF(COUNTA(D2:D7),COUNTIF(D2:D7,"&lt;0")/COUNTA(D2:D7),"—")</f>
        <v/>
      </c>
      <c r="E14" s="14">
        <f>IF(COUNTA(E2:E7),COUNTIF(E2:E7,"&lt;0")/COUNTA(E2:E7),"—")</f>
        <v/>
      </c>
      <c r="F14" s="14">
        <f>IF(COUNTA(F2:F7),COUNTIF(F2:F7,"&lt;0")/COUNTA(F2:F7),"—")</f>
        <v/>
      </c>
      <c r="G14" s="14">
        <f>IF(COUNTA(G2:G7),COUNTIF(G2:G7,"&lt;0")/COUNTA(G2:G7),"—")</f>
        <v/>
      </c>
      <c r="H14" s="14">
        <f>IF(COUNTA(H2:H7),COUNTIF(H2:H7,"&lt;0")/COUNTA(H2:H7),"—")</f>
        <v/>
      </c>
      <c r="I14" s="14">
        <f>IF(COUNTA(I2:I7),COUNTIF(I2:I7,"&lt;0")/COUNTA(I2:I7),"—")</f>
        <v/>
      </c>
      <c r="J14" s="14">
        <f>IF(COUNTA(J2:J7),COUNTIF(J2:J7,"&lt;0")/COUNTA(J2:J7),"—")</f>
        <v/>
      </c>
      <c r="K14" s="14">
        <f>IF(COUNTA(K2:K7),COUNTIF(K2:K7,"&lt;0")/COUNTA(K2:K7),"—")</f>
        <v/>
      </c>
      <c r="L14" s="14">
        <f>IF(COUNTA(L2:L7),COUNTIF(L2:L7,"&lt;0")/COUNTA(L2:L7),"—")</f>
        <v/>
      </c>
      <c r="M14" s="14">
        <f>IF(COUNTA(M2:M7),COUNTIF(M2:M7,"&lt;0")/COUNTA(M2:M7),"—")</f>
        <v/>
      </c>
      <c r="N14" s="14">
        <f>IF(COUNTA(N2:N7),COUNTIF(N2:N7,"&lt;0")/COUNTA(N2:N7),"—")</f>
        <v/>
      </c>
      <c r="O14" s="14">
        <f>IF(COUNTA(O2:O7),COUNTIF(O2:O7,"&lt;0")/COUNTA(O2:O7),"—")</f>
        <v/>
      </c>
      <c r="P14" s="14">
        <f>IF(COUNTA(P2:P7),COUNTIF(P2:P7,"&lt;0")/COUNTA(P2:P7),"—")</f>
        <v/>
      </c>
      <c r="Q14" s="14">
        <f>IF(COUNTA(Q2:Q7),COUNTIF(Q2:Q7,"&lt;0")/COUNTA(Q2:Q7),"—")</f>
        <v/>
      </c>
      <c r="R14" s="14">
        <f>IF(COUNTA(R2:R7),COUNTIF(R2:R7,"&lt;0")/COUNTA(R2:R7),"—")</f>
        <v/>
      </c>
      <c r="S14" s="14">
        <f>IF(COUNTA(S2:S7),COUNTIF(S2:S7,"&lt;0")/COUNTA(S2:S7),"—")</f>
        <v/>
      </c>
      <c r="T14" s="14">
        <f>IF(COUNTA(T2:T7),COUNTIF(T2:T7,"&lt;0")/COUNTA(T2:T7),"—")</f>
        <v/>
      </c>
      <c r="U14" s="14">
        <f>IF(COUNTA(U2:U7),COUNTIF(U2:U7,"&lt;0")/COUNTA(U2:U7),"—")</f>
        <v/>
      </c>
      <c r="V14" s="14">
        <f>IF(COUNTA(V2:V7),COUNTIF(V2:V7,"&lt;0")/COUNTA(V2:V7),"—")</f>
        <v/>
      </c>
      <c r="W14" s="14">
        <f>IF(COUNTA(W2:W7),COUNTIF(W2:W7,"&lt;0")/COUNTA(W2:W7),"—")</f>
        <v/>
      </c>
      <c r="X14" s="14">
        <f>IF(COUNTA(X2:X7),COUNTIF(X2:X7,"&lt;0")/COUNTA(X2:X7),"—")</f>
        <v/>
      </c>
      <c r="Y14" s="14">
        <f>IF(COUNTA(Y2:Y7),COUNTIF(Y2:Y7,"&lt;0")/COUNTA(Y2:Y7),"—")</f>
        <v/>
      </c>
      <c r="Z14" s="14">
        <f>IF(COUNTA(Z2:Z7),COUNTIF(Z2:Z7,"&lt;0")/COUNTA(Z2:Z7),"—")</f>
        <v/>
      </c>
      <c r="AA14" s="14">
        <f>IF(COUNTA(AA2:AA7),COUNTIF(AA2:AA7,"&lt;0")/COUNTA(AA2:AA7),"—")</f>
        <v/>
      </c>
      <c r="AB14" s="14">
        <f>IF(COUNTA(AB2:AB7),COUNTIF(AB2:AB7,"&lt;0")/COUNTA(AB2:AB7),"—")</f>
        <v/>
      </c>
      <c r="AC14" s="14">
        <f>IF(COUNTA(AC2:AC7),COUNTIF(AC2:AC7,"&lt;0")/COUNTA(AC2:AC7),"—")</f>
        <v/>
      </c>
      <c r="AD14" s="14">
        <f>IF(COUNTA(AD2:AD7),COUNTIF(AD2:AD7,"&lt;0")/COUNTA(AD2:AD7),"—")</f>
        <v/>
      </c>
      <c r="AE14" s="14">
        <f>IF(COUNTA(AE2:AE7),COUNTIF(AE2:AE7,"&lt;0")/COUNTA(AE2:AE7),"—")</f>
        <v/>
      </c>
    </row>
  </sheetData>
  <autoFilter ref="A1:AE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.3" customWidth="1" min="1" max="1"/>
  </cols>
  <sheetData>
    <row r="1" ht="70" customHeight="1">
      <c r="A1" s="1" t="inlineStr">
        <is>
          <t>Time</t>
        </is>
      </c>
      <c r="B1" s="1" t="inlineStr">
        <is>
          <t>Club Speed (Mph)</t>
        </is>
      </c>
      <c r="C1" s="1" t="inlineStr">
        <is>
          <t>Ball Speed (Mph)</t>
        </is>
      </c>
      <c r="D1" s="1" t="inlineStr">
        <is>
          <t>Smash Factor</t>
        </is>
      </c>
      <c r="E1" s="1" t="inlineStr">
        <is>
          <t>Carry (Yds)</t>
        </is>
      </c>
      <c r="F1" s="1" t="inlineStr">
        <is>
          <t>Total (Yds)</t>
        </is>
      </c>
      <c r="G1" s="1" t="inlineStr">
        <is>
          <t>Impact Height (mm)</t>
        </is>
      </c>
      <c r="H1" s="1" t="inlineStr">
        <is>
          <t>Impact Offset (mm)</t>
        </is>
      </c>
      <c r="I1" s="1" t="inlineStr">
        <is>
          <t>Club Path (Deg)</t>
        </is>
      </c>
      <c r="J1" s="1" t="inlineStr">
        <is>
          <t>Face Angle (Deg)</t>
        </is>
      </c>
      <c r="K1" s="1" t="inlineStr">
        <is>
          <t>Face To Path (Deg)</t>
        </is>
      </c>
      <c r="L1" s="1" t="inlineStr">
        <is>
          <t>Launch Direction (Deg)</t>
        </is>
      </c>
      <c r="M1" s="1" t="inlineStr">
        <is>
          <t>Attack Angle (Deg)</t>
        </is>
      </c>
      <c r="N1" s="1" t="inlineStr">
        <is>
          <t>Dynamic Loft (Deg)</t>
        </is>
      </c>
      <c r="O1" s="1" t="inlineStr">
        <is>
          <t>Launch Angle (Deg)</t>
        </is>
      </c>
      <c r="P1" s="1" t="inlineStr">
        <is>
          <t>Spin Loft (Deg)</t>
        </is>
      </c>
      <c r="Q1" s="1" t="inlineStr">
        <is>
          <t>Spin Rate (Rpm)</t>
        </is>
      </c>
      <c r="R1" s="1" t="inlineStr">
        <is>
          <t>Spin Axis (Deg)</t>
        </is>
      </c>
      <c r="S1" s="1" t="inlineStr">
        <is>
          <t>Curve (Ft)</t>
        </is>
      </c>
      <c r="T1" s="1" t="inlineStr">
        <is>
          <t>Carry Side (Ft)</t>
        </is>
      </c>
      <c r="U1" s="1" t="inlineStr">
        <is>
          <t>Total Side (Ft)</t>
        </is>
      </c>
      <c r="V1" s="1" t="inlineStr">
        <is>
          <t>Max Height (Ft)</t>
        </is>
      </c>
      <c r="W1" s="1" t="inlineStr">
        <is>
          <t>Landing Angle (Deg)</t>
        </is>
      </c>
      <c r="X1" s="1" t="inlineStr">
        <is>
          <t>Swing Direction (Deg)</t>
        </is>
      </c>
      <c r="Y1" s="1" t="inlineStr">
        <is>
          <t>Swing Plane (Deg)</t>
        </is>
      </c>
      <c r="Z1" s="1" t="inlineStr">
        <is>
          <t>Swing Radius</t>
        </is>
      </c>
      <c r="AA1" s="1" t="inlineStr">
        <is>
          <t>DPlane Tilt</t>
        </is>
      </c>
      <c r="AB1" s="1" t="inlineStr">
        <is>
          <t>Low Point (In)</t>
        </is>
      </c>
      <c r="AC1" s="1" t="inlineStr">
        <is>
          <t>Landing Height</t>
        </is>
      </c>
      <c r="AD1" s="1" t="inlineStr">
        <is>
          <t>Hang Time (Sec)</t>
        </is>
      </c>
      <c r="AE1" s="1" t="inlineStr">
        <is>
          <t>Dynamic Lie (Deg)</t>
        </is>
      </c>
    </row>
    <row r="2">
      <c r="A2" s="2" t="n">
        <v>46100.53270833333</v>
      </c>
      <c r="B2" s="3" t="n">
        <v>75.55</v>
      </c>
      <c r="C2" s="3" t="n">
        <v>99.72</v>
      </c>
      <c r="D2" s="4" t="n">
        <v>1.32</v>
      </c>
      <c r="E2" s="3" t="n">
        <v>136.55</v>
      </c>
      <c r="F2" s="3" t="n">
        <v>143.01</v>
      </c>
      <c r="G2" s="3" t="n">
        <v>1.33</v>
      </c>
      <c r="H2" s="3" t="n">
        <v>-6.14</v>
      </c>
      <c r="I2" s="3" t="n">
        <v>-0.2</v>
      </c>
      <c r="J2" s="3" t="n">
        <v>1.51</v>
      </c>
      <c r="K2" s="3" t="n">
        <v>1.71</v>
      </c>
      <c r="L2" s="3" t="n">
        <v>1.12</v>
      </c>
      <c r="M2" s="5" t="n">
        <v>-1</v>
      </c>
      <c r="N2" s="3" t="n">
        <v>27.16</v>
      </c>
      <c r="O2" s="3" t="n">
        <v>21.83</v>
      </c>
      <c r="P2" s="3" t="n">
        <v>28.36</v>
      </c>
      <c r="Q2" s="3" t="n">
        <v>5284.7</v>
      </c>
      <c r="R2" s="3" t="n">
        <v>3.18</v>
      </c>
      <c r="S2" s="3" t="n">
        <v>9.75</v>
      </c>
      <c r="T2" s="3" t="n">
        <v>17.76</v>
      </c>
      <c r="U2" s="3" t="n">
        <v>19.56</v>
      </c>
      <c r="V2" s="3" t="n">
        <v>77.19</v>
      </c>
      <c r="W2" s="3" t="n">
        <v>45.41</v>
      </c>
      <c r="X2" s="3" t="n">
        <v>-0.98</v>
      </c>
      <c r="Y2" s="3" t="n">
        <v>62.63</v>
      </c>
      <c r="Z2" s="3" t="n">
        <v>1.14</v>
      </c>
      <c r="AA2" s="3" t="n">
        <v>3.47</v>
      </c>
      <c r="AB2" s="5" t="n">
        <v>0.91</v>
      </c>
      <c r="AC2" s="3" t="n">
        <v/>
      </c>
      <c r="AD2" s="3" t="n">
        <v>5.39</v>
      </c>
      <c r="AE2" s="3" t="n">
        <v>67.45999999999999</v>
      </c>
    </row>
    <row r="3">
      <c r="A3" s="6" t="n">
        <v>46100.53319444445</v>
      </c>
      <c r="B3" s="7" t="n">
        <v>78.23999999999999</v>
      </c>
      <c r="C3" s="7" t="n">
        <v>101.66</v>
      </c>
      <c r="D3" s="8" t="n">
        <v>1.3</v>
      </c>
      <c r="E3" s="7" t="n">
        <v>142.79</v>
      </c>
      <c r="F3" s="7" t="n">
        <v>151.59</v>
      </c>
      <c r="G3" s="7" t="n">
        <v/>
      </c>
      <c r="H3" s="7" t="n">
        <v/>
      </c>
      <c r="I3" s="7" t="n">
        <v/>
      </c>
      <c r="J3" s="7" t="n">
        <v/>
      </c>
      <c r="K3" s="7" t="n">
        <v/>
      </c>
      <c r="L3" s="7" t="n">
        <v>-3.58</v>
      </c>
      <c r="M3" s="9" t="n">
        <v/>
      </c>
      <c r="N3" s="7" t="n">
        <v/>
      </c>
      <c r="O3" s="7" t="n">
        <v>21.06</v>
      </c>
      <c r="P3" s="7" t="n">
        <v/>
      </c>
      <c r="Q3" s="7" t="n">
        <v>4631</v>
      </c>
      <c r="R3" s="7" t="n">
        <v/>
      </c>
      <c r="S3" s="7" t="n">
        <v/>
      </c>
      <c r="T3" s="7" t="n">
        <v>-26.72</v>
      </c>
      <c r="U3" s="7" t="n">
        <v>-28.37</v>
      </c>
      <c r="V3" s="7" t="n">
        <v>76.42</v>
      </c>
      <c r="W3" s="7" t="n">
        <v>43.95</v>
      </c>
      <c r="X3" s="7" t="n">
        <v>0.51</v>
      </c>
      <c r="Y3" s="7" t="n">
        <v>62.76</v>
      </c>
      <c r="Z3" s="7" t="n">
        <v>1.2</v>
      </c>
      <c r="AA3" s="7" t="n">
        <v/>
      </c>
      <c r="AB3" s="9" t="n">
        <v/>
      </c>
      <c r="AC3" s="7" t="n">
        <v/>
      </c>
      <c r="AD3" s="7" t="n">
        <v>5.4</v>
      </c>
      <c r="AE3" s="7" t="n">
        <v/>
      </c>
    </row>
    <row r="4">
      <c r="A4" s="2" t="n">
        <v>46100.53394675926</v>
      </c>
      <c r="B4" s="3" t="n">
        <v>76.95999999999999</v>
      </c>
      <c r="C4" s="3" t="n">
        <v>98.29000000000001</v>
      </c>
      <c r="D4" s="4" t="n">
        <v>1.28</v>
      </c>
      <c r="E4" s="3" t="n">
        <v>139.58</v>
      </c>
      <c r="F4" s="3" t="n">
        <v>150.63</v>
      </c>
      <c r="G4" s="3" t="n">
        <v>9.42</v>
      </c>
      <c r="H4" s="3" t="n">
        <v>-5.25</v>
      </c>
      <c r="I4" s="3" t="n">
        <v>1.6</v>
      </c>
      <c r="J4" s="3" t="n">
        <v>0.2</v>
      </c>
      <c r="K4" s="3" t="n">
        <v>-1.4</v>
      </c>
      <c r="L4" s="3" t="n">
        <v>0.43</v>
      </c>
      <c r="M4" s="5" t="n">
        <v>-0.2</v>
      </c>
      <c r="N4" s="3" t="n">
        <v>26.34</v>
      </c>
      <c r="O4" s="3" t="n">
        <v>22.38</v>
      </c>
      <c r="P4" s="3" t="n">
        <v>26.75</v>
      </c>
      <c r="Q4" s="3" t="n">
        <v>3871.58</v>
      </c>
      <c r="R4" s="3" t="n">
        <v>-2.49</v>
      </c>
      <c r="S4" s="3" t="n">
        <v>-6.9</v>
      </c>
      <c r="T4" s="3" t="n">
        <v>-3.79</v>
      </c>
      <c r="U4" s="3" t="n">
        <v>-4.9</v>
      </c>
      <c r="V4" s="3" t="n">
        <v>74.14</v>
      </c>
      <c r="W4" s="3" t="n">
        <v>42.91</v>
      </c>
      <c r="X4" s="3" t="n">
        <v>1.34</v>
      </c>
      <c r="Y4" s="3" t="n">
        <v>66.36</v>
      </c>
      <c r="Z4" s="3" t="n">
        <v>1.18</v>
      </c>
      <c r="AA4" s="3" t="n">
        <v>-2.71</v>
      </c>
      <c r="AB4" s="5" t="n">
        <v>0.2</v>
      </c>
      <c r="AC4" s="3" t="n">
        <v/>
      </c>
      <c r="AD4" s="3" t="n">
        <v>5.25</v>
      </c>
      <c r="AE4" s="3" t="n">
        <v>68.28</v>
      </c>
    </row>
    <row r="5">
      <c r="A5" s="6" t="n">
        <v>46100.53479166667</v>
      </c>
      <c r="B5" s="7" t="n">
        <v>76.41</v>
      </c>
      <c r="C5" s="7" t="n">
        <v>98.18000000000001</v>
      </c>
      <c r="D5" s="8" t="n">
        <v>1.28</v>
      </c>
      <c r="E5" s="7" t="n">
        <v>138.67</v>
      </c>
      <c r="F5" s="7" t="n">
        <v>152.08</v>
      </c>
      <c r="G5" s="7" t="n">
        <v>8.960000000000001</v>
      </c>
      <c r="H5" s="7" t="n">
        <v>-12.17</v>
      </c>
      <c r="I5" s="7" t="n">
        <v>0.4</v>
      </c>
      <c r="J5" s="7" t="n">
        <v>-2.79</v>
      </c>
      <c r="K5" s="7" t="n">
        <v>-3.19</v>
      </c>
      <c r="L5" s="7" t="n">
        <v>-2.26</v>
      </c>
      <c r="M5" s="9" t="n">
        <v>-1.2</v>
      </c>
      <c r="N5" s="7" t="n">
        <v>24.89</v>
      </c>
      <c r="O5" s="7" t="n">
        <v>20.98</v>
      </c>
      <c r="P5" s="7" t="n">
        <v>26.29</v>
      </c>
      <c r="Q5" s="7" t="n">
        <v>3844.37</v>
      </c>
      <c r="R5" s="7" t="n">
        <v>-5.92</v>
      </c>
      <c r="S5" s="7" t="n">
        <v>-15.9</v>
      </c>
      <c r="T5" s="7" t="n">
        <v>-32.31</v>
      </c>
      <c r="U5" s="7" t="n">
        <v>-37.58</v>
      </c>
      <c r="V5" s="7" t="n">
        <v>67.93000000000001</v>
      </c>
      <c r="W5" s="7" t="n">
        <v>40.76</v>
      </c>
      <c r="X5" s="7" t="n">
        <v>-0.19</v>
      </c>
      <c r="Y5" s="7" t="n">
        <v>66.72</v>
      </c>
      <c r="Z5" s="7" t="n">
        <v>1.19</v>
      </c>
      <c r="AA5" s="7" t="n">
        <v>-6.53</v>
      </c>
      <c r="AB5" s="9" t="n">
        <v>0.98</v>
      </c>
      <c r="AC5" s="7" t="n">
        <v/>
      </c>
      <c r="AD5" s="7" t="n">
        <v>5.08</v>
      </c>
      <c r="AE5" s="7" t="n">
        <v>66.86</v>
      </c>
    </row>
    <row r="6">
      <c r="A6" s="2" t="n">
        <v>46100.53291666666</v>
      </c>
      <c r="B6" s="3" t="n">
        <v>75.90000000000001</v>
      </c>
      <c r="C6" s="3" t="n">
        <v>96.65000000000001</v>
      </c>
      <c r="D6" s="4" t="n">
        <v>1.27</v>
      </c>
      <c r="E6" s="3" t="n">
        <v>133.09</v>
      </c>
      <c r="F6" s="3" t="n">
        <v>140.42</v>
      </c>
      <c r="G6" s="3" t="n">
        <v>0.75</v>
      </c>
      <c r="H6" s="3" t="n">
        <v>-11.31</v>
      </c>
      <c r="I6" s="3" t="n">
        <v>2.2</v>
      </c>
      <c r="J6" s="3" t="n">
        <v>3.13</v>
      </c>
      <c r="K6" s="3" t="n">
        <v>0.9399999999999999</v>
      </c>
      <c r="L6" s="3" t="n">
        <v>2.95</v>
      </c>
      <c r="M6" s="5" t="n">
        <v>0.2</v>
      </c>
      <c r="N6" s="3" t="n">
        <v>28.36</v>
      </c>
      <c r="O6" s="3" t="n">
        <v>23.45</v>
      </c>
      <c r="P6" s="3" t="n">
        <v>28.18</v>
      </c>
      <c r="Q6" s="3" t="n">
        <v>4716.47</v>
      </c>
      <c r="R6" s="3" t="n">
        <v>1.66</v>
      </c>
      <c r="S6" s="3" t="n">
        <v>4.67</v>
      </c>
      <c r="T6" s="3" t="n">
        <v>25.18</v>
      </c>
      <c r="U6" s="3" t="n">
        <v>27.06</v>
      </c>
      <c r="V6" s="3" t="n">
        <v>77.09999999999999</v>
      </c>
      <c r="W6" s="3" t="n">
        <v>45.44</v>
      </c>
      <c r="X6" s="3" t="n">
        <v>2.22</v>
      </c>
      <c r="Y6" s="3" t="n">
        <v>64.41</v>
      </c>
      <c r="Z6" s="3" t="n">
        <v>1.15</v>
      </c>
      <c r="AA6" s="3" t="n">
        <v>1.78</v>
      </c>
      <c r="AB6" s="5" t="n">
        <v>-0.31</v>
      </c>
      <c r="AC6" s="3" t="n">
        <v/>
      </c>
      <c r="AD6" s="3" t="n">
        <v>5.31</v>
      </c>
      <c r="AE6" s="3" t="n">
        <v>66.59999999999999</v>
      </c>
    </row>
    <row r="7">
      <c r="A7" s="6" t="n">
        <v>46100.53342592593</v>
      </c>
      <c r="B7" s="7" t="n">
        <v>76.64</v>
      </c>
      <c r="C7" s="7" t="n">
        <v>96.34</v>
      </c>
      <c r="D7" s="8" t="n">
        <v>1.26</v>
      </c>
      <c r="E7" s="7" t="n">
        <v>134.86</v>
      </c>
      <c r="F7" s="7" t="n">
        <v>149.91</v>
      </c>
      <c r="G7" s="7" t="n">
        <v>5.64</v>
      </c>
      <c r="H7" s="7" t="n">
        <v>-13.09</v>
      </c>
      <c r="I7" s="7" t="n">
        <v>2</v>
      </c>
      <c r="J7" s="7" t="n">
        <v>-0.83</v>
      </c>
      <c r="K7" s="7" t="n">
        <v>-2.83</v>
      </c>
      <c r="L7" s="7" t="n">
        <v>-0.33</v>
      </c>
      <c r="M7" s="9" t="n">
        <v>-0.4</v>
      </c>
      <c r="N7" s="7" t="n">
        <v>24.6</v>
      </c>
      <c r="O7" s="7" t="n">
        <v>20.7</v>
      </c>
      <c r="P7" s="7" t="n">
        <v>25.33</v>
      </c>
      <c r="Q7" s="7" t="n">
        <v>3757.17</v>
      </c>
      <c r="R7" s="7" t="n">
        <v>-5.63</v>
      </c>
      <c r="S7" s="7" t="n">
        <v>-14.13</v>
      </c>
      <c r="T7" s="7" t="n">
        <v>-16.46</v>
      </c>
      <c r="U7" s="7" t="n">
        <v>-20.42</v>
      </c>
      <c r="V7" s="7" t="n">
        <v>63.56</v>
      </c>
      <c r="W7" s="7" t="n">
        <v>39.5</v>
      </c>
      <c r="X7" s="7" t="n">
        <v>1.79</v>
      </c>
      <c r="Y7" s="7" t="n">
        <v>66.89</v>
      </c>
      <c r="Z7" s="7" t="n">
        <v>1.17</v>
      </c>
      <c r="AA7" s="7" t="n">
        <v>-6.21</v>
      </c>
      <c r="AB7" s="9" t="n">
        <v>0.35</v>
      </c>
      <c r="AC7" s="7" t="n">
        <v/>
      </c>
      <c r="AD7" s="7" t="n">
        <v>4.92</v>
      </c>
      <c r="AE7" s="7" t="n">
        <v>65.18000000000001</v>
      </c>
    </row>
    <row r="8">
      <c r="A8" s="2" t="n">
        <v>46100.53457175926</v>
      </c>
      <c r="B8" s="3" t="n">
        <v>77.33</v>
      </c>
      <c r="C8" s="3" t="n">
        <v>88.84</v>
      </c>
      <c r="D8" s="4" t="n">
        <v>1.15</v>
      </c>
      <c r="E8" s="3" t="n">
        <v>121.22</v>
      </c>
      <c r="F8" s="3" t="n">
        <v>138.79</v>
      </c>
      <c r="G8" s="3" t="n">
        <v>10.88</v>
      </c>
      <c r="H8" s="3" t="n">
        <v>-5.51</v>
      </c>
      <c r="I8" s="3" t="n">
        <v>2.6</v>
      </c>
      <c r="J8" s="3" t="n">
        <v>3.97</v>
      </c>
      <c r="K8" s="3" t="n">
        <v>1.37</v>
      </c>
      <c r="L8" s="3" t="n">
        <v>3.74</v>
      </c>
      <c r="M8" s="5" t="n">
        <v>0.4</v>
      </c>
      <c r="N8" s="3" t="n">
        <v>26.04</v>
      </c>
      <c r="O8" s="3" t="n">
        <v>22.31</v>
      </c>
      <c r="P8" s="3" t="n">
        <v>25.68</v>
      </c>
      <c r="Q8" s="3" t="n">
        <v>3295.33</v>
      </c>
      <c r="R8" s="3" t="n">
        <v>2.72</v>
      </c>
      <c r="S8" s="3" t="n">
        <v>5.32</v>
      </c>
      <c r="T8" s="3" t="n">
        <v>29.01</v>
      </c>
      <c r="U8" s="3" t="n">
        <v>34.18</v>
      </c>
      <c r="V8" s="3" t="n">
        <v>56.79</v>
      </c>
      <c r="W8" s="3" t="n">
        <v>38.21</v>
      </c>
      <c r="X8" s="3" t="n">
        <v>2.64</v>
      </c>
      <c r="Y8" s="3" t="n">
        <v>68.8</v>
      </c>
      <c r="Z8" s="3" t="n">
        <v>1.18</v>
      </c>
      <c r="AA8" s="3" t="n">
        <v>2.96</v>
      </c>
      <c r="AB8" s="5" t="n">
        <v>-0.51</v>
      </c>
      <c r="AC8" s="3" t="n">
        <v/>
      </c>
      <c r="AD8" s="3" t="n">
        <v>4.56</v>
      </c>
      <c r="AE8" s="3" t="n">
        <v>65.37</v>
      </c>
    </row>
    <row r="9">
      <c r="A9" s="6" t="n">
        <v>46100.53368055556</v>
      </c>
      <c r="B9" s="7" t="n">
        <v>76.37</v>
      </c>
      <c r="C9" s="7" t="n">
        <v>98.06</v>
      </c>
      <c r="D9" s="8" t="n">
        <v>1.28</v>
      </c>
      <c r="E9" s="7" t="n">
        <v>137</v>
      </c>
      <c r="F9" s="7" t="n">
        <v>145.27</v>
      </c>
      <c r="G9" s="7" t="n">
        <v>5.54</v>
      </c>
      <c r="H9" s="7" t="n">
        <v>-11.34</v>
      </c>
      <c r="I9" s="7" t="n">
        <v>0</v>
      </c>
      <c r="J9" s="7" t="n">
        <v>0.1</v>
      </c>
      <c r="K9" s="7" t="n">
        <v>0.1</v>
      </c>
      <c r="L9" s="7" t="n">
        <v>0.08</v>
      </c>
      <c r="M9" s="9" t="n">
        <v>-0.6</v>
      </c>
      <c r="N9" s="7" t="n">
        <v>27.56</v>
      </c>
      <c r="O9" s="7" t="n">
        <v>23.02</v>
      </c>
      <c r="P9" s="7" t="n">
        <v>28.28</v>
      </c>
      <c r="Q9" s="7" t="n">
        <v>4418.87</v>
      </c>
      <c r="R9" s="7" t="n">
        <v>0.28</v>
      </c>
      <c r="S9" s="7" t="n">
        <v>0.8100000000000001</v>
      </c>
      <c r="T9" s="7" t="n">
        <v>1.36</v>
      </c>
      <c r="U9" s="7" t="n">
        <v>1.52</v>
      </c>
      <c r="V9" s="7" t="n">
        <v>77.5</v>
      </c>
      <c r="W9" s="7" t="n">
        <v>44.84</v>
      </c>
      <c r="X9" s="7" t="n">
        <v>-0.49</v>
      </c>
      <c r="Y9" s="7" t="n">
        <v>62.5</v>
      </c>
      <c r="Z9" s="7" t="n">
        <v>1.17</v>
      </c>
      <c r="AA9" s="7" t="n">
        <v>0.3</v>
      </c>
      <c r="AB9" s="9" t="n">
        <v>0.55</v>
      </c>
      <c r="AC9" s="7" t="n">
        <v/>
      </c>
      <c r="AD9" s="7" t="n">
        <v>5.35</v>
      </c>
      <c r="AE9" s="7" t="n">
        <v>66.36</v>
      </c>
    </row>
    <row r="10">
      <c r="A10" s="2" t="n">
        <v>46100.53436342593</v>
      </c>
      <c r="B10" s="3" t="n">
        <v>75.78</v>
      </c>
      <c r="C10" s="3" t="n">
        <v>96.56999999999999</v>
      </c>
      <c r="D10" s="4" t="n">
        <v>1.27</v>
      </c>
      <c r="E10" s="3" t="n">
        <v>134.69</v>
      </c>
      <c r="F10" s="3" t="n">
        <v>146.62</v>
      </c>
      <c r="G10" s="3" t="n">
        <v>8.359999999999999</v>
      </c>
      <c r="H10" s="3" t="n">
        <v>-8.609999999999999</v>
      </c>
      <c r="I10" s="3" t="n">
        <v>0</v>
      </c>
      <c r="J10" s="3" t="n">
        <v>-0.04</v>
      </c>
      <c r="K10" s="3" t="n">
        <v>-0.04</v>
      </c>
      <c r="L10" s="3" t="n">
        <v>-0.01</v>
      </c>
      <c r="M10" s="5" t="n">
        <v>-1</v>
      </c>
      <c r="N10" s="3" t="n">
        <v>25.76</v>
      </c>
      <c r="O10" s="3" t="n">
        <v>21.45</v>
      </c>
      <c r="P10" s="3" t="n">
        <v>26.88</v>
      </c>
      <c r="Q10" s="3" t="n">
        <v>4131</v>
      </c>
      <c r="R10" s="3" t="n">
        <v>-0.24</v>
      </c>
      <c r="S10" s="3" t="n">
        <v>-0.65</v>
      </c>
      <c r="T10" s="3" t="n">
        <v>-0.74</v>
      </c>
      <c r="U10" s="3" t="n">
        <v>-0.89</v>
      </c>
      <c r="V10" s="3" t="n">
        <v>68</v>
      </c>
      <c r="W10" s="3" t="n">
        <v>41.59</v>
      </c>
      <c r="X10" s="3" t="n">
        <v>-0.41</v>
      </c>
      <c r="Y10" s="3" t="n">
        <v>68.23</v>
      </c>
      <c r="Z10" s="3" t="n">
        <v>1.13</v>
      </c>
      <c r="AA10" s="3" t="n">
        <v>-0.27</v>
      </c>
      <c r="AB10" s="5" t="n">
        <v>0.83</v>
      </c>
      <c r="AC10" s="3" t="n">
        <v/>
      </c>
      <c r="AD10" s="3" t="n">
        <v>5.07</v>
      </c>
      <c r="AE10" s="3" t="n">
        <v>69</v>
      </c>
    </row>
    <row r="11">
      <c r="A11" s="6" t="n">
        <v>46100.53505787037</v>
      </c>
      <c r="B11" s="7" t="n">
        <v>75.92</v>
      </c>
      <c r="C11" s="7" t="n">
        <v>94.8</v>
      </c>
      <c r="D11" s="8" t="n">
        <v>1.25</v>
      </c>
      <c r="E11" s="7" t="n">
        <v>132.18</v>
      </c>
      <c r="F11" s="7" t="n">
        <v>148.7</v>
      </c>
      <c r="G11" s="7" t="n">
        <v>8.6</v>
      </c>
      <c r="H11" s="7" t="n">
        <v>-12.52</v>
      </c>
      <c r="I11" s="7" t="n">
        <v>0.6</v>
      </c>
      <c r="J11" s="7" t="n">
        <v>-1.47</v>
      </c>
      <c r="K11" s="7" t="n">
        <v>-2.07</v>
      </c>
      <c r="L11" s="7" t="n">
        <v>-1.11</v>
      </c>
      <c r="M11" s="9" t="n">
        <v>-0.6</v>
      </c>
      <c r="N11" s="7" t="n">
        <v>24.55</v>
      </c>
      <c r="O11" s="7" t="n">
        <v>20.75</v>
      </c>
      <c r="P11" s="7" t="n">
        <v>25.28</v>
      </c>
      <c r="Q11" s="7" t="n">
        <v>3586.28</v>
      </c>
      <c r="R11" s="7" t="n">
        <v>-4.13</v>
      </c>
      <c r="S11" s="7" t="n">
        <v>-9.77</v>
      </c>
      <c r="T11" s="7" t="n">
        <v>-17.45</v>
      </c>
      <c r="U11" s="7" t="n">
        <v>-21.22</v>
      </c>
      <c r="V11" s="7" t="n">
        <v>60.99</v>
      </c>
      <c r="W11" s="7" t="n">
        <v>38.67</v>
      </c>
      <c r="X11" s="7" t="n">
        <v>0.38</v>
      </c>
      <c r="Y11" s="7" t="n">
        <v>69.83</v>
      </c>
      <c r="Z11" s="7" t="n">
        <v>1.19</v>
      </c>
      <c r="AA11" s="7" t="n">
        <v>-4.56</v>
      </c>
      <c r="AB11" s="9" t="n">
        <v>0.43</v>
      </c>
      <c r="AC11" s="7" t="n">
        <v/>
      </c>
      <c r="AD11" s="7" t="n">
        <v>4.81</v>
      </c>
      <c r="AE11" s="7" t="n">
        <v>67.5</v>
      </c>
    </row>
    <row r="12">
      <c r="A12" s="2" t="n">
        <v>46100.53532407407</v>
      </c>
      <c r="B12" s="3" t="n">
        <v>76.98999999999999</v>
      </c>
      <c r="C12" s="3" t="n">
        <v>93.43000000000001</v>
      </c>
      <c r="D12" s="4" t="n">
        <v>1.21</v>
      </c>
      <c r="E12" s="3" t="n">
        <v>130.55</v>
      </c>
      <c r="F12" s="3" t="n">
        <v>150.56</v>
      </c>
      <c r="G12" s="3" t="n">
        <v>7.7</v>
      </c>
      <c r="H12" s="3" t="n">
        <v>-13.61</v>
      </c>
      <c r="I12" s="3" t="n">
        <v>0.4</v>
      </c>
      <c r="J12" s="3" t="n">
        <v>-2.39</v>
      </c>
      <c r="K12" s="3" t="n">
        <v>-2.79</v>
      </c>
      <c r="L12" s="3" t="n">
        <v>-1.95</v>
      </c>
      <c r="M12" s="5" t="n">
        <v>0.2</v>
      </c>
      <c r="N12" s="3" t="n">
        <v>24.14</v>
      </c>
      <c r="O12" s="3" t="n">
        <v>20.82</v>
      </c>
      <c r="P12" s="3" t="n">
        <v>24.11</v>
      </c>
      <c r="Q12" s="3" t="n">
        <v>3102.46</v>
      </c>
      <c r="R12" s="3" t="n">
        <v>-5.79</v>
      </c>
      <c r="S12" s="3" t="n">
        <v>-12.41</v>
      </c>
      <c r="T12" s="3" t="n">
        <v>-25.76</v>
      </c>
      <c r="U12" s="3" t="n">
        <v>-31.98</v>
      </c>
      <c r="V12" s="3" t="n">
        <v>57.57</v>
      </c>
      <c r="W12" s="3" t="n">
        <v>36.96</v>
      </c>
      <c r="X12" s="3" t="n">
        <v>0.48</v>
      </c>
      <c r="Y12" s="3" t="n">
        <v>69.75</v>
      </c>
      <c r="Z12" s="3" t="n">
        <v>1.17</v>
      </c>
      <c r="AA12" s="3" t="n">
        <v>-6.38</v>
      </c>
      <c r="AB12" s="5" t="n">
        <v>-0.31</v>
      </c>
      <c r="AC12" s="3" t="n">
        <v/>
      </c>
      <c r="AD12" s="3" t="n">
        <v>4.65</v>
      </c>
      <c r="AE12" s="3" t="n">
        <v>68.06</v>
      </c>
    </row>
    <row r="13">
      <c r="A13" s="6" t="n">
        <v>46100.53548611111</v>
      </c>
      <c r="B13" s="7" t="n">
        <v>77.38</v>
      </c>
      <c r="C13" s="7" t="n">
        <v>97.81999999999999</v>
      </c>
      <c r="D13" s="8" t="n">
        <v>1.26</v>
      </c>
      <c r="E13" s="7" t="n">
        <v>138.63</v>
      </c>
      <c r="F13" s="7" t="n">
        <v>150.33</v>
      </c>
      <c r="G13" s="7" t="n">
        <v>5.7</v>
      </c>
      <c r="H13" s="7" t="n">
        <v>-9.699999999999999</v>
      </c>
      <c r="I13" s="7" t="n">
        <v>2.4</v>
      </c>
      <c r="J13" s="7" t="n">
        <v>0.15</v>
      </c>
      <c r="K13" s="7" t="n">
        <v>-2.25</v>
      </c>
      <c r="L13" s="7" t="n">
        <v>0.54</v>
      </c>
      <c r="M13" s="9" t="n">
        <v>0</v>
      </c>
      <c r="N13" s="7" t="n">
        <v>26.11</v>
      </c>
      <c r="O13" s="7" t="n">
        <v>22.17</v>
      </c>
      <c r="P13" s="7" t="n">
        <v>26.34</v>
      </c>
      <c r="Q13" s="7" t="n">
        <v>3839</v>
      </c>
      <c r="R13" s="7" t="n">
        <v>-4.34</v>
      </c>
      <c r="S13" s="7" t="n">
        <v>-11.78</v>
      </c>
      <c r="T13" s="7" t="n">
        <v>-7.85</v>
      </c>
      <c r="U13" s="7" t="n">
        <v>-9.949999999999999</v>
      </c>
      <c r="V13" s="7" t="n">
        <v>72.29000000000001</v>
      </c>
      <c r="W13" s="7" t="n">
        <v>42.35</v>
      </c>
      <c r="X13" s="7" t="n">
        <v>2.38</v>
      </c>
      <c r="Y13" s="7" t="n">
        <v>67.31999999999999</v>
      </c>
      <c r="Z13" s="7" t="n">
        <v>1.19</v>
      </c>
      <c r="AA13" s="7" t="n">
        <v>-4.72</v>
      </c>
      <c r="AB13" s="9" t="n">
        <v>-0.04</v>
      </c>
      <c r="AC13" s="7" t="n">
        <v/>
      </c>
      <c r="AD13" s="7" t="n">
        <v>5.19</v>
      </c>
      <c r="AE13" s="7" t="n">
        <v>66.90000000000001</v>
      </c>
    </row>
    <row r="15">
      <c r="A15" s="10" t="inlineStr">
        <is>
          <t>Pos Av</t>
        </is>
      </c>
      <c r="B15" s="11">
        <f>IF(COUNTIF(B2:B13,"&gt;0"),AVERAGEIF(B2:B13,"&gt;0"),"—")</f>
        <v/>
      </c>
      <c r="C15" s="11">
        <f>IF(COUNTIF(C2:C13,"&gt;0"),AVERAGEIF(C2:C13,"&gt;0"),"—")</f>
        <v/>
      </c>
      <c r="D15" s="12">
        <f>IF(COUNTIF(D2:D13,"&gt;0"),AVERAGEIF(D2:D13,"&gt;0"),"—")</f>
        <v/>
      </c>
      <c r="E15" s="11">
        <f>IF(COUNTIF(E2:E13,"&gt;0"),AVERAGEIF(E2:E13,"&gt;0"),"—")</f>
        <v/>
      </c>
      <c r="F15" s="11">
        <f>IF(COUNTIF(F2:F13,"&gt;0"),AVERAGEIF(F2:F13,"&gt;0"),"—")</f>
        <v/>
      </c>
      <c r="G15" s="11">
        <f>IF(COUNTIF(G2:G13,"&gt;0"),AVERAGEIF(G2:G13,"&gt;0"),"—")</f>
        <v/>
      </c>
      <c r="H15" s="11">
        <f>IF(COUNTIF(H2:H13,"&gt;0"),AVERAGEIF(H2:H13,"&gt;0"),"—")</f>
        <v/>
      </c>
      <c r="I15" s="11">
        <f>IF(COUNTIF(I2:I13,"&gt;0"),AVERAGEIF(I2:I13,"&gt;0"),"—")</f>
        <v/>
      </c>
      <c r="J15" s="11">
        <f>IF(COUNTIF(J2:J13,"&gt;0"),AVERAGEIF(J2:J13,"&gt;0"),"—")</f>
        <v/>
      </c>
      <c r="K15" s="11">
        <f>IF(COUNTIF(K2:K13,"&gt;0"),AVERAGEIF(K2:K13,"&gt;0"),"—")</f>
        <v/>
      </c>
      <c r="L15" s="11">
        <f>IF(COUNTIF(L2:L13,"&gt;0"),AVERAGEIF(L2:L13,"&gt;0"),"—")</f>
        <v/>
      </c>
      <c r="M15" s="13">
        <f>IF(COUNTIF(M2:M13,"&gt;0"),AVERAGEIF(M2:M13,"&gt;0"),"—")</f>
        <v/>
      </c>
      <c r="N15" s="11">
        <f>IF(COUNTIF(N2:N13,"&gt;0"),AVERAGEIF(N2:N13,"&gt;0"),"—")</f>
        <v/>
      </c>
      <c r="O15" s="11">
        <f>IF(COUNTIF(O2:O13,"&gt;0"),AVERAGEIF(O2:O13,"&gt;0"),"—")</f>
        <v/>
      </c>
      <c r="P15" s="11">
        <f>IF(COUNTIF(P2:P13,"&gt;0"),AVERAGEIF(P2:P13,"&gt;0"),"—")</f>
        <v/>
      </c>
      <c r="Q15" s="11">
        <f>IF(COUNTIF(Q2:Q13,"&gt;0"),AVERAGEIF(Q2:Q13,"&gt;0"),"—")</f>
        <v/>
      </c>
      <c r="R15" s="11">
        <f>IF(COUNTIF(R2:R13,"&gt;0"),AVERAGEIF(R2:R13,"&gt;0"),"—")</f>
        <v/>
      </c>
      <c r="S15" s="11">
        <f>IF(COUNTIF(S2:S13,"&gt;0"),AVERAGEIF(S2:S13,"&gt;0"),"—")</f>
        <v/>
      </c>
      <c r="T15" s="11">
        <f>IF(COUNTIF(T2:T13,"&gt;0"),AVERAGEIF(T2:T13,"&gt;0"),"—")</f>
        <v/>
      </c>
      <c r="U15" s="11">
        <f>IF(COUNTIF(U2:U13,"&gt;0"),AVERAGEIF(U2:U13,"&gt;0"),"—")</f>
        <v/>
      </c>
      <c r="V15" s="11">
        <f>IF(COUNTIF(V2:V13,"&gt;0"),AVERAGEIF(V2:V13,"&gt;0"),"—")</f>
        <v/>
      </c>
      <c r="W15" s="11">
        <f>IF(COUNTIF(W2:W13,"&gt;0"),AVERAGEIF(W2:W13,"&gt;0"),"—")</f>
        <v/>
      </c>
      <c r="X15" s="11">
        <f>IF(COUNTIF(X2:X13,"&gt;0"),AVERAGEIF(X2:X13,"&gt;0"),"—")</f>
        <v/>
      </c>
      <c r="Y15" s="11">
        <f>IF(COUNTIF(Y2:Y13,"&gt;0"),AVERAGEIF(Y2:Y13,"&gt;0"),"—")</f>
        <v/>
      </c>
      <c r="Z15" s="11">
        <f>IF(COUNTIF(Z2:Z13,"&gt;0"),AVERAGEIF(Z2:Z13,"&gt;0"),"—")</f>
        <v/>
      </c>
      <c r="AA15" s="11">
        <f>IF(COUNTIF(AA2:AA13,"&gt;0"),AVERAGEIF(AA2:AA13,"&gt;0"),"—")</f>
        <v/>
      </c>
      <c r="AB15" s="13">
        <f>IF(COUNTIF(AB2:AB13,"&gt;0"),AVERAGEIF(AB2:AB13,"&gt;0"),"—")</f>
        <v/>
      </c>
      <c r="AC15" s="11">
        <f>IF(COUNTIF(AC2:AC13,"&gt;0"),AVERAGEIF(AC2:AC13,"&gt;0"),"—")</f>
        <v/>
      </c>
      <c r="AD15" s="11">
        <f>IF(COUNTIF(AD2:AD13,"&gt;0"),AVERAGEIF(AD2:AD13,"&gt;0"),"—")</f>
        <v/>
      </c>
      <c r="AE15" s="11">
        <f>IF(COUNTIF(AE2:AE13,"&gt;0"),AVERAGEIF(AE2:AE13,"&gt;0"),"—")</f>
        <v/>
      </c>
    </row>
    <row r="16">
      <c r="A16" s="10" t="inlineStr">
        <is>
          <t>Neg Av</t>
        </is>
      </c>
      <c r="B16" s="11">
        <f>IF(COUNTIF(B2:B13,"&lt;0"),AVERAGEIF(B2:B13,"&lt;0"),"—")</f>
        <v/>
      </c>
      <c r="C16" s="11">
        <f>IF(COUNTIF(C2:C13,"&lt;0"),AVERAGEIF(C2:C13,"&lt;0"),"—")</f>
        <v/>
      </c>
      <c r="D16" s="12">
        <f>IF(COUNTIF(D2:D13,"&lt;0"),AVERAGEIF(D2:D13,"&lt;0"),"—")</f>
        <v/>
      </c>
      <c r="E16" s="11">
        <f>IF(COUNTIF(E2:E13,"&lt;0"),AVERAGEIF(E2:E13,"&lt;0"),"—")</f>
        <v/>
      </c>
      <c r="F16" s="11">
        <f>IF(COUNTIF(F2:F13,"&lt;0"),AVERAGEIF(F2:F13,"&lt;0"),"—")</f>
        <v/>
      </c>
      <c r="G16" s="11">
        <f>IF(COUNTIF(G2:G13,"&lt;0"),AVERAGEIF(G2:G13,"&lt;0"),"—")</f>
        <v/>
      </c>
      <c r="H16" s="11">
        <f>IF(COUNTIF(H2:H13,"&lt;0"),AVERAGEIF(H2:H13,"&lt;0"),"—")</f>
        <v/>
      </c>
      <c r="I16" s="11">
        <f>IF(COUNTIF(I2:I13,"&lt;0"),AVERAGEIF(I2:I13,"&lt;0"),"—")</f>
        <v/>
      </c>
      <c r="J16" s="11">
        <f>IF(COUNTIF(J2:J13,"&lt;0"),AVERAGEIF(J2:J13,"&lt;0"),"—")</f>
        <v/>
      </c>
      <c r="K16" s="11">
        <f>IF(COUNTIF(K2:K13,"&lt;0"),AVERAGEIF(K2:K13,"&lt;0"),"—")</f>
        <v/>
      </c>
      <c r="L16" s="11">
        <f>IF(COUNTIF(L2:L13,"&lt;0"),AVERAGEIF(L2:L13,"&lt;0"),"—")</f>
        <v/>
      </c>
      <c r="M16" s="13">
        <f>IF(COUNTIF(M2:M13,"&lt;0"),AVERAGEIF(M2:M13,"&lt;0"),"—")</f>
        <v/>
      </c>
      <c r="N16" s="11">
        <f>IF(COUNTIF(N2:N13,"&lt;0"),AVERAGEIF(N2:N13,"&lt;0"),"—")</f>
        <v/>
      </c>
      <c r="O16" s="11">
        <f>IF(COUNTIF(O2:O13,"&lt;0"),AVERAGEIF(O2:O13,"&lt;0"),"—")</f>
        <v/>
      </c>
      <c r="P16" s="11">
        <f>IF(COUNTIF(P2:P13,"&lt;0"),AVERAGEIF(P2:P13,"&lt;0"),"—")</f>
        <v/>
      </c>
      <c r="Q16" s="11">
        <f>IF(COUNTIF(Q2:Q13,"&lt;0"),AVERAGEIF(Q2:Q13,"&lt;0"),"—")</f>
        <v/>
      </c>
      <c r="R16" s="11">
        <f>IF(COUNTIF(R2:R13,"&lt;0"),AVERAGEIF(R2:R13,"&lt;0"),"—")</f>
        <v/>
      </c>
      <c r="S16" s="11">
        <f>IF(COUNTIF(S2:S13,"&lt;0"),AVERAGEIF(S2:S13,"&lt;0"),"—")</f>
        <v/>
      </c>
      <c r="T16" s="11">
        <f>IF(COUNTIF(T2:T13,"&lt;0"),AVERAGEIF(T2:T13,"&lt;0"),"—")</f>
        <v/>
      </c>
      <c r="U16" s="11">
        <f>IF(COUNTIF(U2:U13,"&lt;0"),AVERAGEIF(U2:U13,"&lt;0"),"—")</f>
        <v/>
      </c>
      <c r="V16" s="11">
        <f>IF(COUNTIF(V2:V13,"&lt;0"),AVERAGEIF(V2:V13,"&lt;0"),"—")</f>
        <v/>
      </c>
      <c r="W16" s="11">
        <f>IF(COUNTIF(W2:W13,"&lt;0"),AVERAGEIF(W2:W13,"&lt;0"),"—")</f>
        <v/>
      </c>
      <c r="X16" s="11">
        <f>IF(COUNTIF(X2:X13,"&lt;0"),AVERAGEIF(X2:X13,"&lt;0"),"—")</f>
        <v/>
      </c>
      <c r="Y16" s="11">
        <f>IF(COUNTIF(Y2:Y13,"&lt;0"),AVERAGEIF(Y2:Y13,"&lt;0"),"—")</f>
        <v/>
      </c>
      <c r="Z16" s="11">
        <f>IF(COUNTIF(Z2:Z13,"&lt;0"),AVERAGEIF(Z2:Z13,"&lt;0"),"—")</f>
        <v/>
      </c>
      <c r="AA16" s="11">
        <f>IF(COUNTIF(AA2:AA13,"&lt;0"),AVERAGEIF(AA2:AA13,"&lt;0"),"—")</f>
        <v/>
      </c>
      <c r="AB16" s="13">
        <f>IF(COUNTIF(AB2:AB13,"&lt;0"),AVERAGEIF(AB2:AB13,"&lt;0"),"—")</f>
        <v/>
      </c>
      <c r="AC16" s="11">
        <f>IF(COUNTIF(AC2:AC13,"&lt;0"),AVERAGEIF(AC2:AC13,"&lt;0"),"—")</f>
        <v/>
      </c>
      <c r="AD16" s="11">
        <f>IF(COUNTIF(AD2:AD13,"&lt;0"),AVERAGEIF(AD2:AD13,"&lt;0"),"—")</f>
        <v/>
      </c>
      <c r="AE16" s="11">
        <f>IF(COUNTIF(AE2:AE13,"&lt;0"),AVERAGEIF(AE2:AE13,"&lt;0"),"—")</f>
        <v/>
      </c>
    </row>
    <row r="17">
      <c r="A17" s="10" t="inlineStr">
        <is>
          <t>1 Av</t>
        </is>
      </c>
      <c r="B17" s="11">
        <f>IF(COUNTA(B2:B13),AVERAGE(B2:B13),"—")</f>
        <v/>
      </c>
      <c r="C17" s="11">
        <f>IF(COUNTA(C2:C13),AVERAGE(C2:C13),"—")</f>
        <v/>
      </c>
      <c r="D17" s="12">
        <f>IF(COUNTA(D2:D13),AVERAGE(D2:D13),"—")</f>
        <v/>
      </c>
      <c r="E17" s="11">
        <f>IF(COUNTA(E2:E13),AVERAGE(E2:E13),"—")</f>
        <v/>
      </c>
      <c r="F17" s="11">
        <f>IF(COUNTA(F2:F13),AVERAGE(F2:F13),"—")</f>
        <v/>
      </c>
      <c r="G17" s="11">
        <f>IF(COUNTA(G2:G13),AVERAGE(G2:G13),"—")</f>
        <v/>
      </c>
      <c r="H17" s="11">
        <f>IF(COUNTA(H2:H13),AVERAGE(H2:H13),"—")</f>
        <v/>
      </c>
      <c r="I17" s="11">
        <f>IF(COUNTA(I2:I13),AVERAGE(I2:I13),"—")</f>
        <v/>
      </c>
      <c r="J17" s="11">
        <f>IF(COUNTA(J2:J13),AVERAGE(J2:J13),"—")</f>
        <v/>
      </c>
      <c r="K17" s="11">
        <f>IF(COUNTA(K2:K13),AVERAGE(K2:K13),"—")</f>
        <v/>
      </c>
      <c r="L17" s="11">
        <f>IF(COUNTA(L2:L13),AVERAGE(L2:L13),"—")</f>
        <v/>
      </c>
      <c r="M17" s="13">
        <f>IF(COUNTA(M2:M13),AVERAGE(M2:M13),"—")</f>
        <v/>
      </c>
      <c r="N17" s="11">
        <f>IF(COUNTA(N2:N13),AVERAGE(N2:N13),"—")</f>
        <v/>
      </c>
      <c r="O17" s="11">
        <f>IF(COUNTA(O2:O13),AVERAGE(O2:O13),"—")</f>
        <v/>
      </c>
      <c r="P17" s="11">
        <f>IF(COUNTA(P2:P13),AVERAGE(P2:P13),"—")</f>
        <v/>
      </c>
      <c r="Q17" s="11">
        <f>IF(COUNTA(Q2:Q13),AVERAGE(Q2:Q13),"—")</f>
        <v/>
      </c>
      <c r="R17" s="11">
        <f>IF(COUNTA(R2:R13),AVERAGE(R2:R13),"—")</f>
        <v/>
      </c>
      <c r="S17" s="11">
        <f>IF(COUNTA(S2:S13),AVERAGE(S2:S13),"—")</f>
        <v/>
      </c>
      <c r="T17" s="11">
        <f>IF(COUNTA(T2:T13),AVERAGE(T2:T13),"—")</f>
        <v/>
      </c>
      <c r="U17" s="11">
        <f>IF(COUNTA(U2:U13),AVERAGE(U2:U13),"—")</f>
        <v/>
      </c>
      <c r="V17" s="11">
        <f>IF(COUNTA(V2:V13),AVERAGE(V2:V13),"—")</f>
        <v/>
      </c>
      <c r="W17" s="11">
        <f>IF(COUNTA(W2:W13),AVERAGE(W2:W13),"—")</f>
        <v/>
      </c>
      <c r="X17" s="11">
        <f>IF(COUNTA(X2:X13),AVERAGE(X2:X13),"—")</f>
        <v/>
      </c>
      <c r="Y17" s="11">
        <f>IF(COUNTA(Y2:Y13),AVERAGE(Y2:Y13),"—")</f>
        <v/>
      </c>
      <c r="Z17" s="11">
        <f>IF(COUNTA(Z2:Z13),AVERAGE(Z2:Z13),"—")</f>
        <v/>
      </c>
      <c r="AA17" s="11">
        <f>IF(COUNTA(AA2:AA13),AVERAGE(AA2:AA13),"—")</f>
        <v/>
      </c>
      <c r="AB17" s="13">
        <f>IF(COUNTA(AB2:AB13),AVERAGE(AB2:AB13),"—")</f>
        <v/>
      </c>
      <c r="AC17" s="11">
        <f>IF(COUNTA(AC2:AC13),AVERAGE(AC2:AC13),"—")</f>
        <v/>
      </c>
      <c r="AD17" s="11">
        <f>IF(COUNTA(AD2:AD13),AVERAGE(AD2:AD13),"—")</f>
        <v/>
      </c>
      <c r="AE17" s="11">
        <f>IF(COUNTA(AE2:AE13),AVERAGE(AE2:AE13),"—")</f>
        <v/>
      </c>
    </row>
    <row r="18">
      <c r="A18" s="10" t="inlineStr">
        <is>
          <t>Spread</t>
        </is>
      </c>
      <c r="B18" s="11">
        <f>IF(AND(ISNUMBER(B15),ISNUMBER(B16)),B15-B16,"—")</f>
        <v/>
      </c>
      <c r="C18" s="11">
        <f>IF(AND(ISNUMBER(C15),ISNUMBER(C16)),C15-C16,"—")</f>
        <v/>
      </c>
      <c r="D18" s="12">
        <f>IF(AND(ISNUMBER(D15),ISNUMBER(D16)),D15-D16,"—")</f>
        <v/>
      </c>
      <c r="E18" s="11">
        <f>IF(AND(ISNUMBER(E15),ISNUMBER(E16)),E15-E16,"—")</f>
        <v/>
      </c>
      <c r="F18" s="11">
        <f>IF(AND(ISNUMBER(F15),ISNUMBER(F16)),F15-F16,"—")</f>
        <v/>
      </c>
      <c r="G18" s="11">
        <f>IF(AND(ISNUMBER(G15),ISNUMBER(G16)),G15-G16,"—")</f>
        <v/>
      </c>
      <c r="H18" s="11">
        <f>IF(AND(ISNUMBER(H15),ISNUMBER(H16)),H15-H16,"—")</f>
        <v/>
      </c>
      <c r="I18" s="11">
        <f>IF(AND(ISNUMBER(I15),ISNUMBER(I16)),I15-I16,"—")</f>
        <v/>
      </c>
      <c r="J18" s="11">
        <f>IF(AND(ISNUMBER(J15),ISNUMBER(J16)),J15-J16,"—")</f>
        <v/>
      </c>
      <c r="K18" s="11">
        <f>IF(AND(ISNUMBER(K15),ISNUMBER(K16)),K15-K16,"—")</f>
        <v/>
      </c>
      <c r="L18" s="11">
        <f>IF(AND(ISNUMBER(L15),ISNUMBER(L16)),L15-L16,"—")</f>
        <v/>
      </c>
      <c r="M18" s="13">
        <f>IF(AND(ISNUMBER(M15),ISNUMBER(M16)),M15-M16,"—")</f>
        <v/>
      </c>
      <c r="N18" s="11">
        <f>IF(AND(ISNUMBER(N15),ISNUMBER(N16)),N15-N16,"—")</f>
        <v/>
      </c>
      <c r="O18" s="11">
        <f>IF(AND(ISNUMBER(O15),ISNUMBER(O16)),O15-O16,"—")</f>
        <v/>
      </c>
      <c r="P18" s="11">
        <f>IF(AND(ISNUMBER(P15),ISNUMBER(P16)),P15-P16,"—")</f>
        <v/>
      </c>
      <c r="Q18" s="11">
        <f>IF(AND(ISNUMBER(Q15),ISNUMBER(Q16)),Q15-Q16,"—")</f>
        <v/>
      </c>
      <c r="R18" s="11">
        <f>IF(AND(ISNUMBER(R15),ISNUMBER(R16)),R15-R16,"—")</f>
        <v/>
      </c>
      <c r="S18" s="11">
        <f>IF(AND(ISNUMBER(S15),ISNUMBER(S16)),S15-S16,"—")</f>
        <v/>
      </c>
      <c r="T18" s="11">
        <f>IF(AND(ISNUMBER(T15),ISNUMBER(T16)),T15-T16,"—")</f>
        <v/>
      </c>
      <c r="U18" s="11">
        <f>IF(AND(ISNUMBER(U15),ISNUMBER(U16)),U15-U16,"—")</f>
        <v/>
      </c>
      <c r="V18" s="11">
        <f>IF(AND(ISNUMBER(V15),ISNUMBER(V16)),V15-V16,"—")</f>
        <v/>
      </c>
      <c r="W18" s="11">
        <f>IF(AND(ISNUMBER(W15),ISNUMBER(W16)),W15-W16,"—")</f>
        <v/>
      </c>
      <c r="X18" s="11">
        <f>IF(AND(ISNUMBER(X15),ISNUMBER(X16)),X15-X16,"—")</f>
        <v/>
      </c>
      <c r="Y18" s="11">
        <f>IF(AND(ISNUMBER(Y15),ISNUMBER(Y16)),Y15-Y16,"—")</f>
        <v/>
      </c>
      <c r="Z18" s="11">
        <f>IF(AND(ISNUMBER(Z15),ISNUMBER(Z16)),Z15-Z16,"—")</f>
        <v/>
      </c>
      <c r="AA18" s="11">
        <f>IF(AND(ISNUMBER(AA15),ISNUMBER(AA16)),AA15-AA16,"—")</f>
        <v/>
      </c>
      <c r="AB18" s="13">
        <f>IF(AND(ISNUMBER(AB15),ISNUMBER(AB16)),AB15-AB16,"—")</f>
        <v/>
      </c>
      <c r="AC18" s="11">
        <f>IF(AND(ISNUMBER(AC15),ISNUMBER(AC16)),AC15-AC16,"—")</f>
        <v/>
      </c>
      <c r="AD18" s="11">
        <f>IF(AND(ISNUMBER(AD15),ISNUMBER(AD16)),AD15-AD16,"—")</f>
        <v/>
      </c>
      <c r="AE18" s="11">
        <f>IF(AND(ISNUMBER(AE15),ISNUMBER(AE16)),AE15-AE16,"—")</f>
        <v/>
      </c>
    </row>
    <row r="19">
      <c r="A19" s="10" t="inlineStr">
        <is>
          <t>% Pos</t>
        </is>
      </c>
      <c r="B19" s="14">
        <f>IF(COUNTA(B2:B13),COUNTIF(B2:B13,"&gt;0")/COUNTA(B2:B13),"—")</f>
        <v/>
      </c>
      <c r="C19" s="14">
        <f>IF(COUNTA(C2:C13),COUNTIF(C2:C13,"&gt;0")/COUNTA(C2:C13),"—")</f>
        <v/>
      </c>
      <c r="D19" s="14">
        <f>IF(COUNTA(D2:D13),COUNTIF(D2:D13,"&gt;0")/COUNTA(D2:D13),"—")</f>
        <v/>
      </c>
      <c r="E19" s="14">
        <f>IF(COUNTA(E2:E13),COUNTIF(E2:E13,"&gt;0")/COUNTA(E2:E13),"—")</f>
        <v/>
      </c>
      <c r="F19" s="14">
        <f>IF(COUNTA(F2:F13),COUNTIF(F2:F13,"&gt;0")/COUNTA(F2:F13),"—")</f>
        <v/>
      </c>
      <c r="G19" s="14">
        <f>IF(COUNTA(G2:G13),COUNTIF(G2:G13,"&gt;0")/COUNTA(G2:G13),"—")</f>
        <v/>
      </c>
      <c r="H19" s="14">
        <f>IF(COUNTA(H2:H13),COUNTIF(H2:H13,"&gt;0")/COUNTA(H2:H13),"—")</f>
        <v/>
      </c>
      <c r="I19" s="14">
        <f>IF(COUNTA(I2:I13),COUNTIF(I2:I13,"&gt;0")/COUNTA(I2:I13),"—")</f>
        <v/>
      </c>
      <c r="J19" s="14">
        <f>IF(COUNTA(J2:J13),COUNTIF(J2:J13,"&gt;0")/COUNTA(J2:J13),"—")</f>
        <v/>
      </c>
      <c r="K19" s="14">
        <f>IF(COUNTA(K2:K13),COUNTIF(K2:K13,"&gt;0")/COUNTA(K2:K13),"—")</f>
        <v/>
      </c>
      <c r="L19" s="14">
        <f>IF(COUNTA(L2:L13),COUNTIF(L2:L13,"&gt;0")/COUNTA(L2:L13),"—")</f>
        <v/>
      </c>
      <c r="M19" s="14">
        <f>IF(COUNTA(M2:M13),COUNTIF(M2:M13,"&gt;0")/COUNTA(M2:M13),"—")</f>
        <v/>
      </c>
      <c r="N19" s="14">
        <f>IF(COUNTA(N2:N13),COUNTIF(N2:N13,"&gt;0")/COUNTA(N2:N13),"—")</f>
        <v/>
      </c>
      <c r="O19" s="14">
        <f>IF(COUNTA(O2:O13),COUNTIF(O2:O13,"&gt;0")/COUNTA(O2:O13),"—")</f>
        <v/>
      </c>
      <c r="P19" s="14">
        <f>IF(COUNTA(P2:P13),COUNTIF(P2:P13,"&gt;0")/COUNTA(P2:P13),"—")</f>
        <v/>
      </c>
      <c r="Q19" s="14">
        <f>IF(COUNTA(Q2:Q13),COUNTIF(Q2:Q13,"&gt;0")/COUNTA(Q2:Q13),"—")</f>
        <v/>
      </c>
      <c r="R19" s="14">
        <f>IF(COUNTA(R2:R13),COUNTIF(R2:R13,"&gt;0")/COUNTA(R2:R13),"—")</f>
        <v/>
      </c>
      <c r="S19" s="14">
        <f>IF(COUNTA(S2:S13),COUNTIF(S2:S13,"&gt;0")/COUNTA(S2:S13),"—")</f>
        <v/>
      </c>
      <c r="T19" s="14">
        <f>IF(COUNTA(T2:T13),COUNTIF(T2:T13,"&gt;0")/COUNTA(T2:T13),"—")</f>
        <v/>
      </c>
      <c r="U19" s="14">
        <f>IF(COUNTA(U2:U13),COUNTIF(U2:U13,"&gt;0")/COUNTA(U2:U13),"—")</f>
        <v/>
      </c>
      <c r="V19" s="14">
        <f>IF(COUNTA(V2:V13),COUNTIF(V2:V13,"&gt;0")/COUNTA(V2:V13),"—")</f>
        <v/>
      </c>
      <c r="W19" s="14">
        <f>IF(COUNTA(W2:W13),COUNTIF(W2:W13,"&gt;0")/COUNTA(W2:W13),"—")</f>
        <v/>
      </c>
      <c r="X19" s="14">
        <f>IF(COUNTA(X2:X13),COUNTIF(X2:X13,"&gt;0")/COUNTA(X2:X13),"—")</f>
        <v/>
      </c>
      <c r="Y19" s="14">
        <f>IF(COUNTA(Y2:Y13),COUNTIF(Y2:Y13,"&gt;0")/COUNTA(Y2:Y13),"—")</f>
        <v/>
      </c>
      <c r="Z19" s="14">
        <f>IF(COUNTA(Z2:Z13),COUNTIF(Z2:Z13,"&gt;0")/COUNTA(Z2:Z13),"—")</f>
        <v/>
      </c>
      <c r="AA19" s="14">
        <f>IF(COUNTA(AA2:AA13),COUNTIF(AA2:AA13,"&gt;0")/COUNTA(AA2:AA13),"—")</f>
        <v/>
      </c>
      <c r="AB19" s="14">
        <f>IF(COUNTA(AB2:AB13),COUNTIF(AB2:AB13,"&gt;0")/COUNTA(AB2:AB13),"—")</f>
        <v/>
      </c>
      <c r="AC19" s="14">
        <f>IF(COUNTA(AC2:AC13),COUNTIF(AC2:AC13,"&gt;0")/COUNTA(AC2:AC13),"—")</f>
        <v/>
      </c>
      <c r="AD19" s="14">
        <f>IF(COUNTA(AD2:AD13),COUNTIF(AD2:AD13,"&gt;0")/COUNTA(AD2:AD13),"—")</f>
        <v/>
      </c>
      <c r="AE19" s="14">
        <f>IF(COUNTA(AE2:AE13),COUNTIF(AE2:AE13,"&gt;0")/COUNTA(AE2:AE13),"—")</f>
        <v/>
      </c>
    </row>
    <row r="20">
      <c r="A20" s="10" t="inlineStr">
        <is>
          <t>% Neg</t>
        </is>
      </c>
      <c r="B20" s="14">
        <f>IF(COUNTA(B2:B13),COUNTIF(B2:B13,"&lt;0")/COUNTA(B2:B13),"—")</f>
        <v/>
      </c>
      <c r="C20" s="14">
        <f>IF(COUNTA(C2:C13),COUNTIF(C2:C13,"&lt;0")/COUNTA(C2:C13),"—")</f>
        <v/>
      </c>
      <c r="D20" s="14">
        <f>IF(COUNTA(D2:D13),COUNTIF(D2:D13,"&lt;0")/COUNTA(D2:D13),"—")</f>
        <v/>
      </c>
      <c r="E20" s="14">
        <f>IF(COUNTA(E2:E13),COUNTIF(E2:E13,"&lt;0")/COUNTA(E2:E13),"—")</f>
        <v/>
      </c>
      <c r="F20" s="14">
        <f>IF(COUNTA(F2:F13),COUNTIF(F2:F13,"&lt;0")/COUNTA(F2:F13),"—")</f>
        <v/>
      </c>
      <c r="G20" s="14">
        <f>IF(COUNTA(G2:G13),COUNTIF(G2:G13,"&lt;0")/COUNTA(G2:G13),"—")</f>
        <v/>
      </c>
      <c r="H20" s="14">
        <f>IF(COUNTA(H2:H13),COUNTIF(H2:H13,"&lt;0")/COUNTA(H2:H13),"—")</f>
        <v/>
      </c>
      <c r="I20" s="14">
        <f>IF(COUNTA(I2:I13),COUNTIF(I2:I13,"&lt;0")/COUNTA(I2:I13),"—")</f>
        <v/>
      </c>
      <c r="J20" s="14">
        <f>IF(COUNTA(J2:J13),COUNTIF(J2:J13,"&lt;0")/COUNTA(J2:J13),"—")</f>
        <v/>
      </c>
      <c r="K20" s="14">
        <f>IF(COUNTA(K2:K13),COUNTIF(K2:K13,"&lt;0")/COUNTA(K2:K13),"—")</f>
        <v/>
      </c>
      <c r="L20" s="14">
        <f>IF(COUNTA(L2:L13),COUNTIF(L2:L13,"&lt;0")/COUNTA(L2:L13),"—")</f>
        <v/>
      </c>
      <c r="M20" s="14">
        <f>IF(COUNTA(M2:M13),COUNTIF(M2:M13,"&lt;0")/COUNTA(M2:M13),"—")</f>
        <v/>
      </c>
      <c r="N20" s="14">
        <f>IF(COUNTA(N2:N13),COUNTIF(N2:N13,"&lt;0")/COUNTA(N2:N13),"—")</f>
        <v/>
      </c>
      <c r="O20" s="14">
        <f>IF(COUNTA(O2:O13),COUNTIF(O2:O13,"&lt;0")/COUNTA(O2:O13),"—")</f>
        <v/>
      </c>
      <c r="P20" s="14">
        <f>IF(COUNTA(P2:P13),COUNTIF(P2:P13,"&lt;0")/COUNTA(P2:P13),"—")</f>
        <v/>
      </c>
      <c r="Q20" s="14">
        <f>IF(COUNTA(Q2:Q13),COUNTIF(Q2:Q13,"&lt;0")/COUNTA(Q2:Q13),"—")</f>
        <v/>
      </c>
      <c r="R20" s="14">
        <f>IF(COUNTA(R2:R13),COUNTIF(R2:R13,"&lt;0")/COUNTA(R2:R13),"—")</f>
        <v/>
      </c>
      <c r="S20" s="14">
        <f>IF(COUNTA(S2:S13),COUNTIF(S2:S13,"&lt;0")/COUNTA(S2:S13),"—")</f>
        <v/>
      </c>
      <c r="T20" s="14">
        <f>IF(COUNTA(T2:T13),COUNTIF(T2:T13,"&lt;0")/COUNTA(T2:T13),"—")</f>
        <v/>
      </c>
      <c r="U20" s="14">
        <f>IF(COUNTA(U2:U13),COUNTIF(U2:U13,"&lt;0")/COUNTA(U2:U13),"—")</f>
        <v/>
      </c>
      <c r="V20" s="14">
        <f>IF(COUNTA(V2:V13),COUNTIF(V2:V13,"&lt;0")/COUNTA(V2:V13),"—")</f>
        <v/>
      </c>
      <c r="W20" s="14">
        <f>IF(COUNTA(W2:W13),COUNTIF(W2:W13,"&lt;0")/COUNTA(W2:W13),"—")</f>
        <v/>
      </c>
      <c r="X20" s="14">
        <f>IF(COUNTA(X2:X13),COUNTIF(X2:X13,"&lt;0")/COUNTA(X2:X13),"—")</f>
        <v/>
      </c>
      <c r="Y20" s="14">
        <f>IF(COUNTA(Y2:Y13),COUNTIF(Y2:Y13,"&lt;0")/COUNTA(Y2:Y13),"—")</f>
        <v/>
      </c>
      <c r="Z20" s="14">
        <f>IF(COUNTA(Z2:Z13),COUNTIF(Z2:Z13,"&lt;0")/COUNTA(Z2:Z13),"—")</f>
        <v/>
      </c>
      <c r="AA20" s="14">
        <f>IF(COUNTA(AA2:AA13),COUNTIF(AA2:AA13,"&lt;0")/COUNTA(AA2:AA13),"—")</f>
        <v/>
      </c>
      <c r="AB20" s="14">
        <f>IF(COUNTA(AB2:AB13),COUNTIF(AB2:AB13,"&lt;0")/COUNTA(AB2:AB13),"—")</f>
        <v/>
      </c>
      <c r="AC20" s="14">
        <f>IF(COUNTA(AC2:AC13),COUNTIF(AC2:AC13,"&lt;0")/COUNTA(AC2:AC13),"—")</f>
        <v/>
      </c>
      <c r="AD20" s="14">
        <f>IF(COUNTA(AD2:AD13),COUNTIF(AD2:AD13,"&lt;0")/COUNTA(AD2:AD13),"—")</f>
        <v/>
      </c>
      <c r="AE20" s="14">
        <f>IF(COUNTA(AE2:AE13),COUNTIF(AE2:AE13,"&lt;0")/COUNTA(AE2:AE13),"—")</f>
        <v/>
      </c>
    </row>
  </sheetData>
  <autoFilter ref="A1:AE1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.3" customWidth="1" min="1" max="1"/>
  </cols>
  <sheetData>
    <row r="1" ht="70" customHeight="1">
      <c r="A1" s="1" t="inlineStr">
        <is>
          <t>Time</t>
        </is>
      </c>
      <c r="B1" s="1" t="inlineStr">
        <is>
          <t>Club Speed (Mph)</t>
        </is>
      </c>
      <c r="C1" s="1" t="inlineStr">
        <is>
          <t>Ball Speed (Mph)</t>
        </is>
      </c>
      <c r="D1" s="1" t="inlineStr">
        <is>
          <t>Smash Factor</t>
        </is>
      </c>
      <c r="E1" s="1" t="inlineStr">
        <is>
          <t>Carry (Yds)</t>
        </is>
      </c>
      <c r="F1" s="1" t="inlineStr">
        <is>
          <t>Total (Yds)</t>
        </is>
      </c>
      <c r="G1" s="1" t="inlineStr">
        <is>
          <t>Impact Height (mm)</t>
        </is>
      </c>
      <c r="H1" s="1" t="inlineStr">
        <is>
          <t>Impact Offset (mm)</t>
        </is>
      </c>
      <c r="I1" s="1" t="inlineStr">
        <is>
          <t>Club Path (Deg)</t>
        </is>
      </c>
      <c r="J1" s="1" t="inlineStr">
        <is>
          <t>Face Angle (Deg)</t>
        </is>
      </c>
      <c r="K1" s="1" t="inlineStr">
        <is>
          <t>Face To Path (Deg)</t>
        </is>
      </c>
      <c r="L1" s="1" t="inlineStr">
        <is>
          <t>Launch Direction (Deg)</t>
        </is>
      </c>
      <c r="M1" s="1" t="inlineStr">
        <is>
          <t>Attack Angle (Deg)</t>
        </is>
      </c>
      <c r="N1" s="1" t="inlineStr">
        <is>
          <t>Dynamic Loft (Deg)</t>
        </is>
      </c>
      <c r="O1" s="1" t="inlineStr">
        <is>
          <t>Launch Angle (Deg)</t>
        </is>
      </c>
      <c r="P1" s="1" t="inlineStr">
        <is>
          <t>Spin Loft (Deg)</t>
        </is>
      </c>
      <c r="Q1" s="1" t="inlineStr">
        <is>
          <t>Spin Rate (Rpm)</t>
        </is>
      </c>
      <c r="R1" s="1" t="inlineStr">
        <is>
          <t>Spin Axis (Deg)</t>
        </is>
      </c>
      <c r="S1" s="1" t="inlineStr">
        <is>
          <t>Curve (Ft)</t>
        </is>
      </c>
      <c r="T1" s="1" t="inlineStr">
        <is>
          <t>Carry Side (Ft)</t>
        </is>
      </c>
      <c r="U1" s="1" t="inlineStr">
        <is>
          <t>Total Side (Ft)</t>
        </is>
      </c>
      <c r="V1" s="1" t="inlineStr">
        <is>
          <t>Max Height (Ft)</t>
        </is>
      </c>
      <c r="W1" s="1" t="inlineStr">
        <is>
          <t>Landing Angle (Deg)</t>
        </is>
      </c>
      <c r="X1" s="1" t="inlineStr">
        <is>
          <t>Swing Direction (Deg)</t>
        </is>
      </c>
      <c r="Y1" s="1" t="inlineStr">
        <is>
          <t>Swing Plane (Deg)</t>
        </is>
      </c>
      <c r="Z1" s="1" t="inlineStr">
        <is>
          <t>Swing Radius</t>
        </is>
      </c>
      <c r="AA1" s="1" t="inlineStr">
        <is>
          <t>DPlane Tilt</t>
        </is>
      </c>
      <c r="AB1" s="1" t="inlineStr">
        <is>
          <t>Low Point (In)</t>
        </is>
      </c>
      <c r="AC1" s="1" t="inlineStr">
        <is>
          <t>Landing Height</t>
        </is>
      </c>
      <c r="AD1" s="1" t="inlineStr">
        <is>
          <t>Hang Time (Sec)</t>
        </is>
      </c>
      <c r="AE1" s="1" t="inlineStr">
        <is>
          <t>Dynamic Lie (Deg)</t>
        </is>
      </c>
    </row>
    <row r="2">
      <c r="A2" s="2" t="n">
        <v>46100.5283449074</v>
      </c>
      <c r="B2" s="3" t="n">
        <v>71</v>
      </c>
      <c r="C2" s="3" t="n">
        <v>93.51000000000001</v>
      </c>
      <c r="D2" s="4" t="n">
        <v>1.32</v>
      </c>
      <c r="E2" s="3" t="n">
        <v>128.95</v>
      </c>
      <c r="F2" s="3" t="n">
        <v>142.82</v>
      </c>
      <c r="G2" s="3" t="n">
        <v>8.699999999999999</v>
      </c>
      <c r="H2" s="3" t="n">
        <v>-2.51</v>
      </c>
      <c r="I2" s="3" t="n">
        <v>1.6</v>
      </c>
      <c r="J2" s="3" t="n">
        <v>-2.39</v>
      </c>
      <c r="K2" s="3" t="n">
        <v>-3.99</v>
      </c>
      <c r="L2" s="3" t="n">
        <v>-1.69</v>
      </c>
      <c r="M2" s="5" t="n">
        <v>0</v>
      </c>
      <c r="N2" s="3" t="n">
        <v>25.84</v>
      </c>
      <c r="O2" s="3" t="n">
        <v>21.69</v>
      </c>
      <c r="P2" s="3" t="n">
        <v>26.25</v>
      </c>
      <c r="Q2" s="3" t="n">
        <v>3902.5</v>
      </c>
      <c r="R2" s="3" t="n">
        <v>-7.28</v>
      </c>
      <c r="S2" s="3" t="n">
        <v>-17.22</v>
      </c>
      <c r="T2" s="3" t="n">
        <v>-28.61</v>
      </c>
      <c r="U2" s="3" t="n">
        <v>-34.29</v>
      </c>
      <c r="V2" s="3" t="n">
        <v>62.93</v>
      </c>
      <c r="W2" s="3" t="n">
        <v>40.16</v>
      </c>
      <c r="X2" s="3" t="n">
        <v>1.4</v>
      </c>
      <c r="Y2" s="3" t="n">
        <v>68.01000000000001</v>
      </c>
      <c r="Z2" s="3" t="n">
        <v>1.15</v>
      </c>
      <c r="AA2" s="3" t="n">
        <v>-7.95</v>
      </c>
      <c r="AB2" s="5" t="n">
        <v>-0.04</v>
      </c>
      <c r="AC2" s="3" t="n">
        <v/>
      </c>
      <c r="AD2" s="3" t="n">
        <v>4.86</v>
      </c>
      <c r="AE2" s="3" t="n">
        <v>66.45</v>
      </c>
    </row>
    <row r="3">
      <c r="A3" s="6" t="n">
        <v>46100.52850694444</v>
      </c>
      <c r="B3" s="7" t="n">
        <v>73.70999999999999</v>
      </c>
      <c r="C3" s="7" t="n">
        <v>99.88</v>
      </c>
      <c r="D3" s="8" t="n">
        <v>1.35</v>
      </c>
      <c r="E3" s="7" t="n">
        <v>140.95</v>
      </c>
      <c r="F3" s="7" t="n">
        <v>153.53</v>
      </c>
      <c r="G3" s="7" t="n">
        <v>5.44</v>
      </c>
      <c r="H3" s="7" t="n">
        <v>-5.55</v>
      </c>
      <c r="I3" s="7" t="n">
        <v>1.4</v>
      </c>
      <c r="J3" s="7" t="n">
        <v>-3.44</v>
      </c>
      <c r="K3" s="7" t="n">
        <v>-4.84</v>
      </c>
      <c r="L3" s="7" t="n">
        <v>-2.59</v>
      </c>
      <c r="M3" s="9" t="n">
        <v>-0.8</v>
      </c>
      <c r="N3" s="7" t="n">
        <v>24.71</v>
      </c>
      <c r="O3" s="7" t="n">
        <v>20.68</v>
      </c>
      <c r="P3" s="7" t="n">
        <v>26.03</v>
      </c>
      <c r="Q3" s="7" t="n">
        <v>4069</v>
      </c>
      <c r="R3" s="7" t="n">
        <v>-9.24</v>
      </c>
      <c r="S3" s="7" t="n">
        <v>-26.17</v>
      </c>
      <c r="T3" s="7" t="n">
        <v>-45.19</v>
      </c>
      <c r="U3" s="7" t="n">
        <v>-52.59</v>
      </c>
      <c r="V3" s="7" t="n">
        <v>69.66</v>
      </c>
      <c r="W3" s="7" t="n">
        <v>41.26</v>
      </c>
      <c r="X3" s="7" t="n">
        <v>1.09</v>
      </c>
      <c r="Y3" s="7" t="n">
        <v>70.20999999999999</v>
      </c>
      <c r="Z3" s="7" t="n">
        <v>1.17</v>
      </c>
      <c r="AA3" s="7" t="n">
        <v>-10.17</v>
      </c>
      <c r="AB3" s="9" t="n">
        <v>0.63</v>
      </c>
      <c r="AC3" s="7" t="n">
        <v/>
      </c>
      <c r="AD3" s="7" t="n">
        <v>5.17</v>
      </c>
      <c r="AE3" s="7" t="n">
        <v>68.41</v>
      </c>
    </row>
    <row r="4">
      <c r="A4" s="2" t="n">
        <v>46100.52979166667</v>
      </c>
      <c r="B4" s="3" t="n">
        <v>75.34</v>
      </c>
      <c r="C4" s="3" t="n">
        <v>98.86</v>
      </c>
      <c r="D4" s="4" t="n">
        <v>1.31</v>
      </c>
      <c r="E4" s="3" t="n">
        <v>138.8</v>
      </c>
      <c r="F4" s="3" t="n">
        <v>150.93</v>
      </c>
      <c r="G4" s="3" t="n">
        <v>6.62</v>
      </c>
      <c r="H4" s="3" t="n">
        <v>1.86</v>
      </c>
      <c r="I4" s="3" t="n">
        <v>1</v>
      </c>
      <c r="J4" s="3" t="n">
        <v>-3.04</v>
      </c>
      <c r="K4" s="3" t="n">
        <v>-4.04</v>
      </c>
      <c r="L4" s="3" t="n">
        <v>-2.31</v>
      </c>
      <c r="M4" s="5" t="n">
        <v>-0.2</v>
      </c>
      <c r="N4" s="3" t="n">
        <v>25.09</v>
      </c>
      <c r="O4" s="3" t="n">
        <v>20.92</v>
      </c>
      <c r="P4" s="3" t="n">
        <v>25.61</v>
      </c>
      <c r="Q4" s="3" t="n">
        <v>4149</v>
      </c>
      <c r="R4" s="3" t="n">
        <v>-7.67</v>
      </c>
      <c r="S4" s="3" t="n">
        <v>-21.34</v>
      </c>
      <c r="T4" s="3" t="n">
        <v>-38.11</v>
      </c>
      <c r="U4" s="3" t="n">
        <v>-44.19</v>
      </c>
      <c r="V4" s="3" t="n">
        <v>69.31</v>
      </c>
      <c r="W4" s="3" t="n">
        <v>41.5</v>
      </c>
      <c r="X4" s="3" t="n">
        <v>0.82</v>
      </c>
      <c r="Y4" s="3" t="n">
        <v>68.47</v>
      </c>
      <c r="Z4" s="3" t="n">
        <v>1.21</v>
      </c>
      <c r="AA4" s="3" t="n">
        <v>-8.41</v>
      </c>
      <c r="AB4" s="5" t="n">
        <v>0.04</v>
      </c>
      <c r="AC4" s="3" t="n">
        <v/>
      </c>
      <c r="AD4" s="3" t="n">
        <v>5.14</v>
      </c>
      <c r="AE4" s="3" t="n">
        <v>67.59</v>
      </c>
    </row>
    <row r="5">
      <c r="A5" s="6" t="n">
        <v>46100.52864583334</v>
      </c>
      <c r="B5" s="7" t="n">
        <v>74.95999999999999</v>
      </c>
      <c r="C5" s="7" t="n">
        <v>101.58</v>
      </c>
      <c r="D5" s="8" t="n">
        <v>1.36</v>
      </c>
      <c r="E5" s="7" t="n">
        <v>140.91</v>
      </c>
      <c r="F5" s="7" t="n">
        <v>150.38</v>
      </c>
      <c r="G5" s="7" t="n">
        <v>1.27</v>
      </c>
      <c r="H5" s="7" t="n">
        <v>4.09</v>
      </c>
      <c r="I5" s="7" t="n">
        <v>-0.4</v>
      </c>
      <c r="J5" s="7" t="n">
        <v>-5.78</v>
      </c>
      <c r="K5" s="7" t="n">
        <v>-5.38</v>
      </c>
      <c r="L5" s="7" t="n">
        <v>-4.71</v>
      </c>
      <c r="M5" s="9" t="n">
        <v>-1</v>
      </c>
      <c r="N5" s="7" t="n">
        <v>25.06</v>
      </c>
      <c r="O5" s="7" t="n">
        <v>20.29</v>
      </c>
      <c r="P5" s="7" t="n">
        <v>26.66</v>
      </c>
      <c r="Q5" s="7" t="n">
        <v>4901.08</v>
      </c>
      <c r="R5" s="7" t="n">
        <v>-9.76</v>
      </c>
      <c r="S5" s="7" t="n">
        <v>-30.07</v>
      </c>
      <c r="T5" s="7" t="n">
        <v>-64.61</v>
      </c>
      <c r="U5" s="7" t="n">
        <v>-72.40000000000001</v>
      </c>
      <c r="V5" s="7" t="n">
        <v>72.63</v>
      </c>
      <c r="W5" s="7" t="n">
        <v>43.01</v>
      </c>
      <c r="X5" s="7" t="n">
        <v>-1.08</v>
      </c>
      <c r="Y5" s="7" t="n">
        <v>63.7</v>
      </c>
      <c r="Z5" s="7" t="n">
        <v>1.16</v>
      </c>
      <c r="AA5" s="7" t="n">
        <v>-10.75</v>
      </c>
      <c r="AB5" s="9" t="n">
        <v>0.87</v>
      </c>
      <c r="AC5" s="7" t="n">
        <v/>
      </c>
      <c r="AD5" s="7" t="n">
        <v>5.3</v>
      </c>
      <c r="AE5" s="7" t="n">
        <v>68.73999999999999</v>
      </c>
    </row>
    <row r="6">
      <c r="A6" s="2" t="n">
        <v>46100.52994212963</v>
      </c>
      <c r="B6" s="3" t="n">
        <v>76.36</v>
      </c>
      <c r="C6" s="3" t="n">
        <v>98.81</v>
      </c>
      <c r="D6" s="4" t="n">
        <v>1.29</v>
      </c>
      <c r="E6" s="3" t="n">
        <v>138.6</v>
      </c>
      <c r="F6" s="3" t="n">
        <v>146.54</v>
      </c>
      <c r="G6" s="3" t="n">
        <v>5.52</v>
      </c>
      <c r="H6" s="3" t="n">
        <v>-1.17</v>
      </c>
      <c r="I6" s="3" t="n">
        <v>0</v>
      </c>
      <c r="J6" s="3" t="n">
        <v>1.74</v>
      </c>
      <c r="K6" s="3" t="n">
        <v>1.74</v>
      </c>
      <c r="L6" s="3" t="n">
        <v>1.41</v>
      </c>
      <c r="M6" s="5" t="n">
        <v>0.6</v>
      </c>
      <c r="N6" s="3" t="n">
        <v>27.73</v>
      </c>
      <c r="O6" s="3" t="n">
        <v>23.28</v>
      </c>
      <c r="P6" s="3" t="n">
        <v>27.17</v>
      </c>
      <c r="Q6" s="3" t="n">
        <v>4381.39</v>
      </c>
      <c r="R6" s="3" t="n">
        <v>3.16</v>
      </c>
      <c r="S6" s="3" t="n">
        <v>9.25</v>
      </c>
      <c r="T6" s="3" t="n">
        <v>19.51</v>
      </c>
      <c r="U6" s="3" t="n">
        <v>21.57</v>
      </c>
      <c r="V6" s="3" t="n">
        <v>79.78</v>
      </c>
      <c r="W6" s="3" t="n">
        <v>45.32</v>
      </c>
      <c r="X6" s="3" t="n">
        <v>0.23</v>
      </c>
      <c r="Y6" s="3" t="n">
        <v>63.44</v>
      </c>
      <c r="Z6" s="3" t="n">
        <v>1.12</v>
      </c>
      <c r="AA6" s="3" t="n">
        <v>3.41</v>
      </c>
      <c r="AB6" s="5" t="n">
        <v>-0.71</v>
      </c>
      <c r="AC6" s="3" t="n">
        <v/>
      </c>
      <c r="AD6" s="3" t="n">
        <v>5.41</v>
      </c>
      <c r="AE6" s="3" t="n">
        <v>67.79000000000001</v>
      </c>
    </row>
    <row r="7">
      <c r="A7" s="6" t="n">
        <v>46100.52880787037</v>
      </c>
      <c r="B7" s="7" t="n">
        <v>74.40000000000001</v>
      </c>
      <c r="C7" s="7" t="n">
        <v>100.05</v>
      </c>
      <c r="D7" s="8" t="n">
        <v>1.34</v>
      </c>
      <c r="E7" s="7" t="n">
        <v>138.09</v>
      </c>
      <c r="F7" s="7" t="n">
        <v>146.12</v>
      </c>
      <c r="G7" s="7" t="n">
        <v>1.49</v>
      </c>
      <c r="H7" s="7" t="n">
        <v>-2.53</v>
      </c>
      <c r="I7" s="7" t="n">
        <v>-0.6</v>
      </c>
      <c r="J7" s="7" t="n">
        <v>-3.52</v>
      </c>
      <c r="K7" s="7" t="n">
        <v>-2.92</v>
      </c>
      <c r="L7" s="7" t="n">
        <v>-2.92</v>
      </c>
      <c r="M7" s="9" t="n">
        <v>-0.8</v>
      </c>
      <c r="N7" s="7" t="n">
        <v>26.24</v>
      </c>
      <c r="O7" s="7" t="n">
        <v>21.22</v>
      </c>
      <c r="P7" s="7" t="n">
        <v>27.3</v>
      </c>
      <c r="Q7" s="7" t="n">
        <v>5011</v>
      </c>
      <c r="R7" s="7" t="n">
        <v>-5.16</v>
      </c>
      <c r="S7" s="7" t="n">
        <v>-15.64</v>
      </c>
      <c r="T7" s="7" t="n">
        <v>-36.71</v>
      </c>
      <c r="U7" s="7" t="n">
        <v>-40.53</v>
      </c>
      <c r="V7" s="7" t="n">
        <v>74.67</v>
      </c>
      <c r="W7" s="7" t="n">
        <v>44.19</v>
      </c>
      <c r="X7" s="7" t="n">
        <v>-1.16</v>
      </c>
      <c r="Y7" s="7" t="n">
        <v>62.19</v>
      </c>
      <c r="Z7" s="7" t="n">
        <v>1.17</v>
      </c>
      <c r="AA7" s="7" t="n">
        <v>-5.66</v>
      </c>
      <c r="AB7" s="9" t="n">
        <v>0.71</v>
      </c>
      <c r="AC7" s="7" t="n">
        <v/>
      </c>
      <c r="AD7" s="7" t="n">
        <v>5.33</v>
      </c>
      <c r="AE7" s="7" t="n">
        <v>66.5</v>
      </c>
    </row>
    <row r="8">
      <c r="A8" s="2" t="n">
        <v>46100.52895833334</v>
      </c>
      <c r="B8" s="3" t="n">
        <v>74.58</v>
      </c>
      <c r="C8" s="3" t="n">
        <v>98.29000000000001</v>
      </c>
      <c r="D8" s="4" t="n">
        <v>1.32</v>
      </c>
      <c r="E8" s="3" t="n">
        <v>138.47</v>
      </c>
      <c r="F8" s="3" t="n">
        <v>152.9</v>
      </c>
      <c r="G8" s="3" t="n">
        <v>6.02</v>
      </c>
      <c r="H8" s="3" t="n">
        <v>-5.88</v>
      </c>
      <c r="I8" s="3" t="n">
        <v>1.6</v>
      </c>
      <c r="J8" s="3" t="n">
        <v>-4.83</v>
      </c>
      <c r="K8" s="3" t="n">
        <v>-6.43</v>
      </c>
      <c r="L8" s="3" t="n">
        <v>-3.75</v>
      </c>
      <c r="M8" s="5" t="n">
        <v>-0.2</v>
      </c>
      <c r="N8" s="3" t="n">
        <v>24.61</v>
      </c>
      <c r="O8" s="3" t="n">
        <v>20.86</v>
      </c>
      <c r="P8" s="3" t="n">
        <v>25.6</v>
      </c>
      <c r="Q8" s="3" t="n">
        <v>3783.02</v>
      </c>
      <c r="R8" s="3" t="n">
        <v>-12.41</v>
      </c>
      <c r="S8" s="3" t="n">
        <v>-32.77</v>
      </c>
      <c r="T8" s="3" t="n">
        <v>-59.8</v>
      </c>
      <c r="U8" s="3" t="n">
        <v>-70.63</v>
      </c>
      <c r="V8" s="3" t="n">
        <v>66.54000000000001</v>
      </c>
      <c r="W8" s="3" t="n">
        <v>40.08</v>
      </c>
      <c r="X8" s="3" t="n">
        <v>1.46</v>
      </c>
      <c r="Y8" s="3" t="n">
        <v>67.52</v>
      </c>
      <c r="Z8" s="3" t="n">
        <v>1.19</v>
      </c>
      <c r="AA8" s="3" t="n">
        <v>-13.63</v>
      </c>
      <c r="AB8" s="5" t="n">
        <v>0.04</v>
      </c>
      <c r="AC8" s="3" t="n">
        <v/>
      </c>
      <c r="AD8" s="3" t="n">
        <v>5.03</v>
      </c>
      <c r="AE8" s="3" t="n">
        <v>67.70999999999999</v>
      </c>
    </row>
    <row r="9">
      <c r="A9" s="6" t="n">
        <v>46100.5315162037</v>
      </c>
      <c r="B9" s="7" t="n">
        <v>76.13</v>
      </c>
      <c r="C9" s="7" t="n">
        <v>99.66</v>
      </c>
      <c r="D9" s="8" t="n">
        <v>1.31</v>
      </c>
      <c r="E9" s="7" t="n">
        <v>139.36</v>
      </c>
      <c r="F9" s="7" t="n">
        <v>149.5</v>
      </c>
      <c r="G9" s="7" t="n">
        <v>2.88</v>
      </c>
      <c r="H9" s="7" t="n">
        <v>-15.68</v>
      </c>
      <c r="I9" s="7" t="n">
        <v>1.6</v>
      </c>
      <c r="J9" s="7" t="n">
        <v>-2.09</v>
      </c>
      <c r="K9" s="7" t="n">
        <v>-3.69</v>
      </c>
      <c r="L9" s="7" t="n">
        <v>-1.39</v>
      </c>
      <c r="M9" s="9" t="n">
        <v>0</v>
      </c>
      <c r="N9" s="7" t="n">
        <v>25.67</v>
      </c>
      <c r="O9" s="7" t="n">
        <v>21.2</v>
      </c>
      <c r="P9" s="7" t="n">
        <v>26.01</v>
      </c>
      <c r="Q9" s="7" t="n">
        <v>4468.74</v>
      </c>
      <c r="R9" s="7" t="n">
        <v>-6.81</v>
      </c>
      <c r="S9" s="7" t="n">
        <v>-19.87</v>
      </c>
      <c r="T9" s="7" t="n">
        <v>-29.98</v>
      </c>
      <c r="U9" s="7" t="n">
        <v>-34.5</v>
      </c>
      <c r="V9" s="7" t="n">
        <v>72.63</v>
      </c>
      <c r="W9" s="7" t="n">
        <v>42.9</v>
      </c>
      <c r="X9" s="7" t="n">
        <v>1.45</v>
      </c>
      <c r="Y9" s="7" t="n">
        <v>64.86</v>
      </c>
      <c r="Z9" s="7" t="n">
        <v>1.14</v>
      </c>
      <c r="AA9" s="7" t="n">
        <v>-7.5</v>
      </c>
      <c r="AB9" s="9" t="n">
        <v>-0.08</v>
      </c>
      <c r="AC9" s="7" t="n">
        <v/>
      </c>
      <c r="AD9" s="7" t="n">
        <v>5.26</v>
      </c>
      <c r="AE9" s="7" t="n">
        <v>67.75</v>
      </c>
    </row>
    <row r="10">
      <c r="A10" s="2" t="n">
        <v>46100.52909722222</v>
      </c>
      <c r="B10" s="3" t="n">
        <v>74.98</v>
      </c>
      <c r="C10" s="3" t="n">
        <v>97.02</v>
      </c>
      <c r="D10" s="4" t="n">
        <v>1.29</v>
      </c>
      <c r="E10" s="3" t="n">
        <v>135.1</v>
      </c>
      <c r="F10" s="3" t="n">
        <v>142.85</v>
      </c>
      <c r="G10" s="3" t="n">
        <v>6.46</v>
      </c>
      <c r="H10" s="3" t="n">
        <v>2.93</v>
      </c>
      <c r="I10" s="3" t="n">
        <v>2.2</v>
      </c>
      <c r="J10" s="3" t="n">
        <v>3.69</v>
      </c>
      <c r="K10" s="3" t="n">
        <v>1.49</v>
      </c>
      <c r="L10" s="3" t="n">
        <v>3.41</v>
      </c>
      <c r="M10" s="5" t="n">
        <v>0.8</v>
      </c>
      <c r="N10" s="3" t="n">
        <v>28.46</v>
      </c>
      <c r="O10" s="3" t="n">
        <v>23.9</v>
      </c>
      <c r="P10" s="3" t="n">
        <v>27.68</v>
      </c>
      <c r="Q10" s="3" t="n">
        <v>4394.84</v>
      </c>
      <c r="R10" s="3" t="n">
        <v>2.62</v>
      </c>
      <c r="S10" s="3" t="n">
        <v>7.37</v>
      </c>
      <c r="T10" s="3" t="n">
        <v>31.45</v>
      </c>
      <c r="U10" s="3" t="n">
        <v>34.02</v>
      </c>
      <c r="V10" s="3" t="n">
        <v>78.97</v>
      </c>
      <c r="W10" s="3" t="n">
        <v>45.54</v>
      </c>
      <c r="X10" s="3" t="n">
        <v>2.51</v>
      </c>
      <c r="Y10" s="3" t="n">
        <v>65.78</v>
      </c>
      <c r="Z10" s="3" t="n">
        <v>1.14</v>
      </c>
      <c r="AA10" s="3" t="n">
        <v>2.82</v>
      </c>
      <c r="AB10" s="5" t="n">
        <v>-0.87</v>
      </c>
      <c r="AC10" s="3" t="n">
        <v/>
      </c>
      <c r="AD10" s="3" t="n">
        <v>5.36</v>
      </c>
      <c r="AE10" s="3" t="n">
        <v>67.66</v>
      </c>
    </row>
    <row r="11">
      <c r="A11" s="6" t="n">
        <v>46100.52952546296</v>
      </c>
      <c r="B11" s="7" t="n">
        <v>74.25</v>
      </c>
      <c r="C11" s="7" t="n">
        <v>95.06999999999999</v>
      </c>
      <c r="D11" s="8" t="n">
        <v>1.28</v>
      </c>
      <c r="E11" s="7" t="n">
        <v>131.58</v>
      </c>
      <c r="F11" s="7" t="n">
        <v>142.02</v>
      </c>
      <c r="G11" s="7" t="n">
        <v>7.27</v>
      </c>
      <c r="H11" s="7" t="n">
        <v>-0.01</v>
      </c>
      <c r="I11" s="7" t="n">
        <v>0.6</v>
      </c>
      <c r="J11" s="7" t="n">
        <v>3.44</v>
      </c>
      <c r="K11" s="7" t="n">
        <v>2.84</v>
      </c>
      <c r="L11" s="7" t="n">
        <v>2.9</v>
      </c>
      <c r="M11" s="9" t="n">
        <v>0</v>
      </c>
      <c r="N11" s="7" t="n">
        <v>27.14</v>
      </c>
      <c r="O11" s="7" t="n">
        <v>22.66</v>
      </c>
      <c r="P11" s="7" t="n">
        <v>27.38</v>
      </c>
      <c r="Q11" s="7" t="n">
        <v>4247.48</v>
      </c>
      <c r="R11" s="7" t="n">
        <v>5.15</v>
      </c>
      <c r="S11" s="7" t="n">
        <v>13.33</v>
      </c>
      <c r="T11" s="7" t="n">
        <v>33.29</v>
      </c>
      <c r="U11" s="7" t="n">
        <v>37.61</v>
      </c>
      <c r="V11" s="7" t="n">
        <v>70.16</v>
      </c>
      <c r="W11" s="7" t="n">
        <v>42.87</v>
      </c>
      <c r="X11" s="7" t="n">
        <v>0.45</v>
      </c>
      <c r="Y11" s="7" t="n">
        <v>65.79000000000001</v>
      </c>
      <c r="Z11" s="7" t="n">
        <v>1.14</v>
      </c>
      <c r="AA11" s="7" t="n">
        <v>5.59</v>
      </c>
      <c r="AB11" s="9" t="n">
        <v>-0.04</v>
      </c>
      <c r="AC11" s="7" t="n">
        <v/>
      </c>
      <c r="AD11" s="7" t="n">
        <v>5.1</v>
      </c>
      <c r="AE11" s="7" t="n">
        <v>68.06999999999999</v>
      </c>
    </row>
    <row r="12">
      <c r="A12" s="2" t="n">
        <v>46100.53090277778</v>
      </c>
      <c r="B12" s="3" t="n">
        <v>74.76000000000001</v>
      </c>
      <c r="C12" s="3" t="n">
        <v>99.55</v>
      </c>
      <c r="D12" s="4" t="n">
        <v>1.33</v>
      </c>
      <c r="E12" s="3" t="n">
        <v>139.22</v>
      </c>
      <c r="F12" s="3" t="n">
        <v>147.83</v>
      </c>
      <c r="G12" s="3" t="n">
        <v>5.93</v>
      </c>
      <c r="H12" s="3" t="n">
        <v>-6.14</v>
      </c>
      <c r="I12" s="3" t="n">
        <v>0</v>
      </c>
      <c r="J12" s="3" t="n">
        <v>-1.38</v>
      </c>
      <c r="K12" s="3" t="n">
        <v>-1.38</v>
      </c>
      <c r="L12" s="3" t="n">
        <v>-1.1</v>
      </c>
      <c r="M12" s="5" t="n">
        <v>-0.2</v>
      </c>
      <c r="N12" s="3" t="n">
        <v>26.62</v>
      </c>
      <c r="O12" s="3" t="n">
        <v>22.02</v>
      </c>
      <c r="P12" s="3" t="n">
        <v>26.96</v>
      </c>
      <c r="Q12" s="3" t="n">
        <v>4546.52</v>
      </c>
      <c r="R12" s="3" t="n">
        <v>-2.6</v>
      </c>
      <c r="S12" s="3" t="n">
        <v>-7.72</v>
      </c>
      <c r="T12" s="3" t="n">
        <v>-15.73</v>
      </c>
      <c r="U12" s="3" t="n">
        <v>-17.54</v>
      </c>
      <c r="V12" s="3" t="n">
        <v>76.37</v>
      </c>
      <c r="W12" s="3" t="n">
        <v>44.28</v>
      </c>
      <c r="X12" s="3" t="n">
        <v>-0.11</v>
      </c>
      <c r="Y12" s="3" t="n">
        <v>67.73999999999999</v>
      </c>
      <c r="Z12" s="3" t="n">
        <v>1.18</v>
      </c>
      <c r="AA12" s="3" t="n">
        <v>-2.85</v>
      </c>
      <c r="AB12" s="5" t="n">
        <v>0.12</v>
      </c>
      <c r="AC12" s="3" t="n">
        <v/>
      </c>
      <c r="AD12" s="3" t="n">
        <v>5.35</v>
      </c>
      <c r="AE12" s="3" t="n">
        <v>68.18000000000001</v>
      </c>
    </row>
    <row r="13">
      <c r="A13" s="6" t="n">
        <v>46100.52965277778</v>
      </c>
      <c r="B13" s="7" t="n">
        <v>75.55</v>
      </c>
      <c r="C13" s="7" t="n">
        <v>97.61</v>
      </c>
      <c r="D13" s="8" t="n">
        <v>1.29</v>
      </c>
      <c r="E13" s="7" t="n">
        <v>132.76</v>
      </c>
      <c r="F13" s="7" t="n">
        <v>144.45</v>
      </c>
      <c r="G13" s="7" t="n">
        <v>-2.18</v>
      </c>
      <c r="H13" s="7" t="n">
        <v>-5.96</v>
      </c>
      <c r="I13" s="7" t="n">
        <v>-0.6</v>
      </c>
      <c r="J13" s="7" t="n">
        <v>-4.73</v>
      </c>
      <c r="K13" s="7" t="n">
        <v>-4.13</v>
      </c>
      <c r="L13" s="7" t="n">
        <v>-3.86</v>
      </c>
      <c r="M13" s="9" t="n">
        <v>-0.8</v>
      </c>
      <c r="N13" s="7" t="n">
        <v>24.55</v>
      </c>
      <c r="O13" s="7" t="n">
        <v>19.51</v>
      </c>
      <c r="P13" s="7" t="n">
        <v>25.73</v>
      </c>
      <c r="Q13" s="7" t="n">
        <v>4937.75</v>
      </c>
      <c r="R13" s="7" t="n">
        <v>-7.55</v>
      </c>
      <c r="S13" s="7" t="n">
        <v>-20.65</v>
      </c>
      <c r="T13" s="7" t="n">
        <v>-47.4</v>
      </c>
      <c r="U13" s="7" t="n">
        <v>-54.49</v>
      </c>
      <c r="V13" s="7" t="n">
        <v>63.2</v>
      </c>
      <c r="W13" s="7" t="n">
        <v>40.62</v>
      </c>
      <c r="X13" s="7" t="n">
        <v>-1.21</v>
      </c>
      <c r="Y13" s="7" t="n">
        <v>64.79000000000001</v>
      </c>
      <c r="Z13" s="7" t="n">
        <v>1.15</v>
      </c>
      <c r="AA13" s="7" t="n">
        <v>-8.390000000000001</v>
      </c>
      <c r="AB13" s="9" t="n">
        <v>0.67</v>
      </c>
      <c r="AC13" s="7" t="n">
        <v/>
      </c>
      <c r="AD13" s="7" t="n">
        <v>4.98</v>
      </c>
      <c r="AE13" s="7" t="n">
        <v>68.34999999999999</v>
      </c>
    </row>
    <row r="14">
      <c r="A14" s="2" t="n">
        <v>46100.53008101852</v>
      </c>
      <c r="B14" s="3" t="n">
        <v>76.43000000000001</v>
      </c>
      <c r="C14" s="3" t="n">
        <v>97.16</v>
      </c>
      <c r="D14" s="4" t="n">
        <v>1.27</v>
      </c>
      <c r="E14" s="3" t="n">
        <v>133.44</v>
      </c>
      <c r="F14" s="3" t="n">
        <v>143.84</v>
      </c>
      <c r="G14" s="3" t="n">
        <v>-1</v>
      </c>
      <c r="H14" s="3" t="n">
        <v>-15.1</v>
      </c>
      <c r="I14" s="3" t="n">
        <v>3.2</v>
      </c>
      <c r="J14" s="3" t="n">
        <v>-2.16</v>
      </c>
      <c r="K14" s="3" t="n">
        <v>-5.36</v>
      </c>
      <c r="L14" s="3" t="n">
        <v>-1.07</v>
      </c>
      <c r="M14" s="5" t="n">
        <v>0</v>
      </c>
      <c r="N14" s="3" t="n">
        <v>26.07</v>
      </c>
      <c r="O14" s="3" t="n">
        <v>21.32</v>
      </c>
      <c r="P14" s="3" t="n">
        <v>26.56</v>
      </c>
      <c r="Q14" s="3" t="n">
        <v>4679</v>
      </c>
      <c r="R14" s="3" t="n">
        <v>-9.82</v>
      </c>
      <c r="S14" s="3" t="n">
        <v>-26.88</v>
      </c>
      <c r="T14" s="3" t="n">
        <v>-34.37</v>
      </c>
      <c r="U14" s="3" t="n">
        <v>-40.5</v>
      </c>
      <c r="V14" s="3" t="n">
        <v>68.75</v>
      </c>
      <c r="W14" s="3" t="n">
        <v>42.38</v>
      </c>
      <c r="X14" s="3" t="n">
        <v>3.14</v>
      </c>
      <c r="Y14" s="3" t="n">
        <v>64.8</v>
      </c>
      <c r="Z14" s="3" t="n">
        <v>1.19</v>
      </c>
      <c r="AA14" s="3" t="n">
        <v>-10.79</v>
      </c>
      <c r="AB14" s="5" t="n">
        <v>-0.16</v>
      </c>
      <c r="AC14" s="3" t="n">
        <v/>
      </c>
      <c r="AD14" s="3" t="n">
        <v>5.11</v>
      </c>
      <c r="AE14" s="3" t="n">
        <v>67.43000000000001</v>
      </c>
    </row>
    <row r="15">
      <c r="A15" s="6" t="n">
        <v>46100.53023148148</v>
      </c>
      <c r="B15" s="7" t="n">
        <v>76.65000000000001</v>
      </c>
      <c r="C15" s="7" t="n">
        <v>96.40000000000001</v>
      </c>
      <c r="D15" s="8" t="n">
        <v>1.26</v>
      </c>
      <c r="E15" s="7" t="n">
        <v>134.04</v>
      </c>
      <c r="F15" s="7" t="n">
        <v>142.1</v>
      </c>
      <c r="G15" s="7" t="n">
        <v>8.73</v>
      </c>
      <c r="H15" s="7" t="n">
        <v>1.27</v>
      </c>
      <c r="I15" s="7" t="n">
        <v>2</v>
      </c>
      <c r="J15" s="7" t="n">
        <v>6.49</v>
      </c>
      <c r="K15" s="7" t="n">
        <v>4.49</v>
      </c>
      <c r="L15" s="7" t="n">
        <v>5.67</v>
      </c>
      <c r="M15" s="9" t="n">
        <v>0.4</v>
      </c>
      <c r="N15" s="7" t="n">
        <v>28.66</v>
      </c>
      <c r="O15" s="7" t="n">
        <v>24.2</v>
      </c>
      <c r="P15" s="7" t="n">
        <v>28.58</v>
      </c>
      <c r="Q15" s="7" t="n">
        <v>4323.79</v>
      </c>
      <c r="R15" s="7" t="n">
        <v>7.84</v>
      </c>
      <c r="S15" s="7" t="n">
        <v>21.55</v>
      </c>
      <c r="T15" s="7" t="n">
        <v>61.1</v>
      </c>
      <c r="U15" s="7" t="n">
        <v>67.05</v>
      </c>
      <c r="V15" s="7" t="n">
        <v>78.41</v>
      </c>
      <c r="W15" s="7" t="n">
        <v>45.39</v>
      </c>
      <c r="X15" s="7" t="n">
        <v>2.06</v>
      </c>
      <c r="Y15" s="7" t="n">
        <v>64.70999999999999</v>
      </c>
      <c r="Z15" s="7" t="n">
        <v>1.13</v>
      </c>
      <c r="AA15" s="7" t="n">
        <v>8.41</v>
      </c>
      <c r="AB15" s="9" t="n">
        <v>-0.51</v>
      </c>
      <c r="AC15" s="7" t="n">
        <v/>
      </c>
      <c r="AD15" s="7" t="n">
        <v>5.32</v>
      </c>
      <c r="AE15" s="7" t="n">
        <v>66.11</v>
      </c>
    </row>
    <row r="16">
      <c r="A16" s="2" t="n">
        <v>46100.53105324074</v>
      </c>
      <c r="B16" s="3" t="n">
        <v>76.73</v>
      </c>
      <c r="C16" s="3" t="n">
        <v>101.57</v>
      </c>
      <c r="D16" s="4" t="n">
        <v>1.32</v>
      </c>
      <c r="E16" s="3" t="n">
        <v>143.81</v>
      </c>
      <c r="F16" s="3" t="n">
        <v>153.18</v>
      </c>
      <c r="G16" s="3" t="n">
        <v>4.45</v>
      </c>
      <c r="H16" s="3" t="n">
        <v>0.13</v>
      </c>
      <c r="I16" s="3" t="n">
        <v>1.8</v>
      </c>
      <c r="J16" s="3" t="n">
        <v>-2.91</v>
      </c>
      <c r="K16" s="3" t="n">
        <v>-4.71</v>
      </c>
      <c r="L16" s="3" t="n">
        <v>-2.05</v>
      </c>
      <c r="M16" s="5" t="n">
        <v>0.8</v>
      </c>
      <c r="N16" s="3" t="n">
        <v>26.04</v>
      </c>
      <c r="O16" s="3" t="n">
        <v>21.83</v>
      </c>
      <c r="P16" s="3" t="n">
        <v>25.67</v>
      </c>
      <c r="Q16" s="3" t="n">
        <v>4321.77</v>
      </c>
      <c r="R16" s="3" t="n">
        <v>-8.84</v>
      </c>
      <c r="S16" s="3" t="n">
        <v>-27.12</v>
      </c>
      <c r="T16" s="3" t="n">
        <v>-42.53</v>
      </c>
      <c r="U16" s="3" t="n">
        <v>-48.18</v>
      </c>
      <c r="V16" s="3" t="n">
        <v>78.09999999999999</v>
      </c>
      <c r="W16" s="3" t="n">
        <v>44.02</v>
      </c>
      <c r="X16" s="3" t="n">
        <v>1.97</v>
      </c>
      <c r="Y16" s="3" t="n">
        <v>67.48</v>
      </c>
      <c r="Z16" s="3" t="n">
        <v>1.18</v>
      </c>
      <c r="AA16" s="3" t="n">
        <v>-9.619999999999999</v>
      </c>
      <c r="AB16" s="5" t="n">
        <v>-0.83</v>
      </c>
      <c r="AC16" s="3" t="n">
        <v/>
      </c>
      <c r="AD16" s="3" t="n">
        <v>5.42</v>
      </c>
      <c r="AE16" s="3" t="n">
        <v>67.48</v>
      </c>
    </row>
    <row r="17">
      <c r="A17" s="6" t="n">
        <v>46100.53121527778</v>
      </c>
      <c r="B17" s="7" t="n">
        <v>75.77</v>
      </c>
      <c r="C17" s="7" t="n">
        <v>97.44</v>
      </c>
      <c r="D17" s="8" t="n">
        <v>1.29</v>
      </c>
      <c r="E17" s="7" t="n">
        <v>136.28</v>
      </c>
      <c r="F17" s="7" t="n">
        <v>145.08</v>
      </c>
      <c r="G17" s="7" t="n">
        <v>3.48</v>
      </c>
      <c r="H17" s="7" t="n">
        <v>-7.32</v>
      </c>
      <c r="I17" s="7" t="n">
        <v>1</v>
      </c>
      <c r="J17" s="7" t="n">
        <v>0.6</v>
      </c>
      <c r="K17" s="7" t="n">
        <v>-0.4</v>
      </c>
      <c r="L17" s="7" t="n">
        <v>0.66</v>
      </c>
      <c r="M17" s="9" t="n">
        <v>0.6</v>
      </c>
      <c r="N17" s="7" t="n">
        <v>27.54</v>
      </c>
      <c r="O17" s="7" t="n">
        <v>23.09</v>
      </c>
      <c r="P17" s="7" t="n">
        <v>27.02</v>
      </c>
      <c r="Q17" s="7" t="n">
        <v>4298.93</v>
      </c>
      <c r="R17" s="7" t="n">
        <v>-0.55</v>
      </c>
      <c r="S17" s="7" t="n">
        <v>-1.55</v>
      </c>
      <c r="T17" s="7" t="n">
        <v>3.18</v>
      </c>
      <c r="U17" s="7" t="n">
        <v>3.21</v>
      </c>
      <c r="V17" s="7" t="n">
        <v>76.40000000000001</v>
      </c>
      <c r="W17" s="7" t="n">
        <v>44.47</v>
      </c>
      <c r="X17" s="7" t="n">
        <v>1.11</v>
      </c>
      <c r="Y17" s="7" t="n">
        <v>64.65000000000001</v>
      </c>
      <c r="Z17" s="7" t="n">
        <v>1.18</v>
      </c>
      <c r="AA17" s="7" t="n">
        <v>-0.61</v>
      </c>
      <c r="AB17" s="9" t="n">
        <v>-0.63</v>
      </c>
      <c r="AC17" s="7" t="n">
        <v/>
      </c>
      <c r="AD17" s="7" t="n">
        <v>5.31</v>
      </c>
      <c r="AE17" s="7" t="n">
        <v>67.13</v>
      </c>
    </row>
    <row r="18">
      <c r="A18" s="2" t="n">
        <v>46100.53136574074</v>
      </c>
      <c r="B18" s="3" t="n">
        <v>76.62</v>
      </c>
      <c r="C18" s="3" t="n">
        <v>94.8</v>
      </c>
      <c r="D18" s="4" t="n">
        <v>1.24</v>
      </c>
      <c r="E18" s="3" t="n">
        <v>133.05</v>
      </c>
      <c r="F18" s="3" t="n">
        <v>147.86</v>
      </c>
      <c r="G18" s="3" t="n">
        <v>8.050000000000001</v>
      </c>
      <c r="H18" s="3" t="n">
        <v>-3.29</v>
      </c>
      <c r="I18" s="3" t="n">
        <v>2.4</v>
      </c>
      <c r="J18" s="3" t="n">
        <v>-1.33</v>
      </c>
      <c r="K18" s="3" t="n">
        <v>-3.73</v>
      </c>
      <c r="L18" s="3" t="n">
        <v>-0.68</v>
      </c>
      <c r="M18" s="5" t="n">
        <v>1.4</v>
      </c>
      <c r="N18" s="3" t="n">
        <v>25.56</v>
      </c>
      <c r="O18" s="3" t="n">
        <v>21.86</v>
      </c>
      <c r="P18" s="3" t="n">
        <v>24.37</v>
      </c>
      <c r="Q18" s="3" t="n">
        <v>3522.61</v>
      </c>
      <c r="R18" s="3" t="n">
        <v>-7.69</v>
      </c>
      <c r="S18" s="3" t="n">
        <v>-18.43</v>
      </c>
      <c r="T18" s="3" t="n">
        <v>-23.16</v>
      </c>
      <c r="U18" s="3" t="n">
        <v>-28.44</v>
      </c>
      <c r="V18" s="3" t="n">
        <v>64.84</v>
      </c>
      <c r="W18" s="3" t="n">
        <v>39.99</v>
      </c>
      <c r="X18" s="3" t="n">
        <v>2.96</v>
      </c>
      <c r="Y18" s="3" t="n">
        <v>70.65000000000001</v>
      </c>
      <c r="Z18" s="3" t="n">
        <v>1.2</v>
      </c>
      <c r="AA18" s="3" t="n">
        <v>-8.390000000000001</v>
      </c>
      <c r="AB18" s="5" t="n">
        <v>-1.46</v>
      </c>
      <c r="AC18" s="3" t="n">
        <v/>
      </c>
      <c r="AD18" s="3" t="n">
        <v>4.91</v>
      </c>
      <c r="AE18" s="3" t="n">
        <v>67.97</v>
      </c>
    </row>
    <row r="19">
      <c r="A19" s="6" t="n">
        <v>46100.53167824074</v>
      </c>
      <c r="B19" s="7" t="n">
        <v>77.56</v>
      </c>
      <c r="C19" s="7" t="n">
        <v>100.98</v>
      </c>
      <c r="D19" s="8" t="n">
        <v>1.3</v>
      </c>
      <c r="E19" s="7" t="n">
        <v>139.97</v>
      </c>
      <c r="F19" s="7" t="n">
        <v>146.55</v>
      </c>
      <c r="G19" s="7" t="n">
        <v>-1.55</v>
      </c>
      <c r="H19" s="7" t="n">
        <v>-9.06</v>
      </c>
      <c r="I19" s="7" t="n">
        <v>2.4</v>
      </c>
      <c r="J19" s="7" t="n">
        <v>0.46</v>
      </c>
      <c r="K19" s="7" t="n">
        <v>-1.94</v>
      </c>
      <c r="L19" s="7" t="n">
        <v>0.87</v>
      </c>
      <c r="M19" s="9" t="n">
        <v>0.2</v>
      </c>
      <c r="N19" s="7" t="n">
        <v>27.1</v>
      </c>
      <c r="O19" s="7" t="n">
        <v>22.11</v>
      </c>
      <c r="P19" s="7" t="n">
        <v>27.04</v>
      </c>
      <c r="Q19" s="7" t="n">
        <v>5014.56</v>
      </c>
      <c r="R19" s="7" t="n">
        <v>-3.6</v>
      </c>
      <c r="S19" s="7" t="n">
        <v>-11.33</v>
      </c>
      <c r="T19" s="7" t="n">
        <v>-4.92</v>
      </c>
      <c r="U19" s="7" t="n">
        <v>-6.23</v>
      </c>
      <c r="V19" s="7" t="n">
        <v>80.16</v>
      </c>
      <c r="W19" s="7" t="n">
        <v>45.75</v>
      </c>
      <c r="X19" s="7" t="n">
        <v>2.48</v>
      </c>
      <c r="Y19" s="7" t="n">
        <v>63.36</v>
      </c>
      <c r="Z19" s="7" t="n">
        <v>1.15</v>
      </c>
      <c r="AA19" s="7" t="n">
        <v>-3.94</v>
      </c>
      <c r="AB19" s="9" t="n">
        <v>-0.28</v>
      </c>
      <c r="AC19" s="7" t="n">
        <v/>
      </c>
      <c r="AD19" s="7" t="n">
        <v>5.48</v>
      </c>
      <c r="AE19" s="7" t="n">
        <v>67.26000000000001</v>
      </c>
    </row>
    <row r="21">
      <c r="A21" s="10" t="inlineStr">
        <is>
          <t>Pos Av</t>
        </is>
      </c>
      <c r="B21" s="11">
        <f>IF(COUNTIF(B2:B19,"&gt;0"),AVERAGEIF(B2:B19,"&gt;0"),"—")</f>
        <v/>
      </c>
      <c r="C21" s="11">
        <f>IF(COUNTIF(C2:C19,"&gt;0"),AVERAGEIF(C2:C19,"&gt;0"),"—")</f>
        <v/>
      </c>
      <c r="D21" s="12">
        <f>IF(COUNTIF(D2:D19,"&gt;0"),AVERAGEIF(D2:D19,"&gt;0"),"—")</f>
        <v/>
      </c>
      <c r="E21" s="11">
        <f>IF(COUNTIF(E2:E19,"&gt;0"),AVERAGEIF(E2:E19,"&gt;0"),"—")</f>
        <v/>
      </c>
      <c r="F21" s="11">
        <f>IF(COUNTIF(F2:F19,"&gt;0"),AVERAGEIF(F2:F19,"&gt;0"),"—")</f>
        <v/>
      </c>
      <c r="G21" s="11">
        <f>IF(COUNTIF(G2:G19,"&gt;0"),AVERAGEIF(G2:G19,"&gt;0"),"—")</f>
        <v/>
      </c>
      <c r="H21" s="11">
        <f>IF(COUNTIF(H2:H19,"&gt;0"),AVERAGEIF(H2:H19,"&gt;0"),"—")</f>
        <v/>
      </c>
      <c r="I21" s="11">
        <f>IF(COUNTIF(I2:I19,"&gt;0"),AVERAGEIF(I2:I19,"&gt;0"),"—")</f>
        <v/>
      </c>
      <c r="J21" s="11">
        <f>IF(COUNTIF(J2:J19,"&gt;0"),AVERAGEIF(J2:J19,"&gt;0"),"—")</f>
        <v/>
      </c>
      <c r="K21" s="11">
        <f>IF(COUNTIF(K2:K19,"&gt;0"),AVERAGEIF(K2:K19,"&gt;0"),"—")</f>
        <v/>
      </c>
      <c r="L21" s="11">
        <f>IF(COUNTIF(L2:L19,"&gt;0"),AVERAGEIF(L2:L19,"&gt;0"),"—")</f>
        <v/>
      </c>
      <c r="M21" s="13">
        <f>IF(COUNTIF(M2:M19,"&gt;0"),AVERAGEIF(M2:M19,"&gt;0"),"—")</f>
        <v/>
      </c>
      <c r="N21" s="11">
        <f>IF(COUNTIF(N2:N19,"&gt;0"),AVERAGEIF(N2:N19,"&gt;0"),"—")</f>
        <v/>
      </c>
      <c r="O21" s="11">
        <f>IF(COUNTIF(O2:O19,"&gt;0"),AVERAGEIF(O2:O19,"&gt;0"),"—")</f>
        <v/>
      </c>
      <c r="P21" s="11">
        <f>IF(COUNTIF(P2:P19,"&gt;0"),AVERAGEIF(P2:P19,"&gt;0"),"—")</f>
        <v/>
      </c>
      <c r="Q21" s="11">
        <f>IF(COUNTIF(Q2:Q19,"&gt;0"),AVERAGEIF(Q2:Q19,"&gt;0"),"—")</f>
        <v/>
      </c>
      <c r="R21" s="11">
        <f>IF(COUNTIF(R2:R19,"&gt;0"),AVERAGEIF(R2:R19,"&gt;0"),"—")</f>
        <v/>
      </c>
      <c r="S21" s="11">
        <f>IF(COUNTIF(S2:S19,"&gt;0"),AVERAGEIF(S2:S19,"&gt;0"),"—")</f>
        <v/>
      </c>
      <c r="T21" s="11">
        <f>IF(COUNTIF(T2:T19,"&gt;0"),AVERAGEIF(T2:T19,"&gt;0"),"—")</f>
        <v/>
      </c>
      <c r="U21" s="11">
        <f>IF(COUNTIF(U2:U19,"&gt;0"),AVERAGEIF(U2:U19,"&gt;0"),"—")</f>
        <v/>
      </c>
      <c r="V21" s="11">
        <f>IF(COUNTIF(V2:V19,"&gt;0"),AVERAGEIF(V2:V19,"&gt;0"),"—")</f>
        <v/>
      </c>
      <c r="W21" s="11">
        <f>IF(COUNTIF(W2:W19,"&gt;0"),AVERAGEIF(W2:W19,"&gt;0"),"—")</f>
        <v/>
      </c>
      <c r="X21" s="11">
        <f>IF(COUNTIF(X2:X19,"&gt;0"),AVERAGEIF(X2:X19,"&gt;0"),"—")</f>
        <v/>
      </c>
      <c r="Y21" s="11">
        <f>IF(COUNTIF(Y2:Y19,"&gt;0"),AVERAGEIF(Y2:Y19,"&gt;0"),"—")</f>
        <v/>
      </c>
      <c r="Z21" s="11">
        <f>IF(COUNTIF(Z2:Z19,"&gt;0"),AVERAGEIF(Z2:Z19,"&gt;0"),"—")</f>
        <v/>
      </c>
      <c r="AA21" s="11">
        <f>IF(COUNTIF(AA2:AA19,"&gt;0"),AVERAGEIF(AA2:AA19,"&gt;0"),"—")</f>
        <v/>
      </c>
      <c r="AB21" s="13">
        <f>IF(COUNTIF(AB2:AB19,"&gt;0"),AVERAGEIF(AB2:AB19,"&gt;0"),"—")</f>
        <v/>
      </c>
      <c r="AC21" s="11">
        <f>IF(COUNTIF(AC2:AC19,"&gt;0"),AVERAGEIF(AC2:AC19,"&gt;0"),"—")</f>
        <v/>
      </c>
      <c r="AD21" s="11">
        <f>IF(COUNTIF(AD2:AD19,"&gt;0"),AVERAGEIF(AD2:AD19,"&gt;0"),"—")</f>
        <v/>
      </c>
      <c r="AE21" s="11">
        <f>IF(COUNTIF(AE2:AE19,"&gt;0"),AVERAGEIF(AE2:AE19,"&gt;0"),"—")</f>
        <v/>
      </c>
    </row>
    <row r="22">
      <c r="A22" s="10" t="inlineStr">
        <is>
          <t>Neg Av</t>
        </is>
      </c>
      <c r="B22" s="11">
        <f>IF(COUNTIF(B2:B19,"&lt;0"),AVERAGEIF(B2:B19,"&lt;0"),"—")</f>
        <v/>
      </c>
      <c r="C22" s="11">
        <f>IF(COUNTIF(C2:C19,"&lt;0"),AVERAGEIF(C2:C19,"&lt;0"),"—")</f>
        <v/>
      </c>
      <c r="D22" s="12">
        <f>IF(COUNTIF(D2:D19,"&lt;0"),AVERAGEIF(D2:D19,"&lt;0"),"—")</f>
        <v/>
      </c>
      <c r="E22" s="11">
        <f>IF(COUNTIF(E2:E19,"&lt;0"),AVERAGEIF(E2:E19,"&lt;0"),"—")</f>
        <v/>
      </c>
      <c r="F22" s="11">
        <f>IF(COUNTIF(F2:F19,"&lt;0"),AVERAGEIF(F2:F19,"&lt;0"),"—")</f>
        <v/>
      </c>
      <c r="G22" s="11">
        <f>IF(COUNTIF(G2:G19,"&lt;0"),AVERAGEIF(G2:G19,"&lt;0"),"—")</f>
        <v/>
      </c>
      <c r="H22" s="11">
        <f>IF(COUNTIF(H2:H19,"&lt;0"),AVERAGEIF(H2:H19,"&lt;0"),"—")</f>
        <v/>
      </c>
      <c r="I22" s="11">
        <f>IF(COUNTIF(I2:I19,"&lt;0"),AVERAGEIF(I2:I19,"&lt;0"),"—")</f>
        <v/>
      </c>
      <c r="J22" s="11">
        <f>IF(COUNTIF(J2:J19,"&lt;0"),AVERAGEIF(J2:J19,"&lt;0"),"—")</f>
        <v/>
      </c>
      <c r="K22" s="11">
        <f>IF(COUNTIF(K2:K19,"&lt;0"),AVERAGEIF(K2:K19,"&lt;0"),"—")</f>
        <v/>
      </c>
      <c r="L22" s="11">
        <f>IF(COUNTIF(L2:L19,"&lt;0"),AVERAGEIF(L2:L19,"&lt;0"),"—")</f>
        <v/>
      </c>
      <c r="M22" s="13">
        <f>IF(COUNTIF(M2:M19,"&lt;0"),AVERAGEIF(M2:M19,"&lt;0"),"—")</f>
        <v/>
      </c>
      <c r="N22" s="11">
        <f>IF(COUNTIF(N2:N19,"&lt;0"),AVERAGEIF(N2:N19,"&lt;0"),"—")</f>
        <v/>
      </c>
      <c r="O22" s="11">
        <f>IF(COUNTIF(O2:O19,"&lt;0"),AVERAGEIF(O2:O19,"&lt;0"),"—")</f>
        <v/>
      </c>
      <c r="P22" s="11">
        <f>IF(COUNTIF(P2:P19,"&lt;0"),AVERAGEIF(P2:P19,"&lt;0"),"—")</f>
        <v/>
      </c>
      <c r="Q22" s="11">
        <f>IF(COUNTIF(Q2:Q19,"&lt;0"),AVERAGEIF(Q2:Q19,"&lt;0"),"—")</f>
        <v/>
      </c>
      <c r="R22" s="11">
        <f>IF(COUNTIF(R2:R19,"&lt;0"),AVERAGEIF(R2:R19,"&lt;0"),"—")</f>
        <v/>
      </c>
      <c r="S22" s="11">
        <f>IF(COUNTIF(S2:S19,"&lt;0"),AVERAGEIF(S2:S19,"&lt;0"),"—")</f>
        <v/>
      </c>
      <c r="T22" s="11">
        <f>IF(COUNTIF(T2:T19,"&lt;0"),AVERAGEIF(T2:T19,"&lt;0"),"—")</f>
        <v/>
      </c>
      <c r="U22" s="11">
        <f>IF(COUNTIF(U2:U19,"&lt;0"),AVERAGEIF(U2:U19,"&lt;0"),"—")</f>
        <v/>
      </c>
      <c r="V22" s="11">
        <f>IF(COUNTIF(V2:V19,"&lt;0"),AVERAGEIF(V2:V19,"&lt;0"),"—")</f>
        <v/>
      </c>
      <c r="W22" s="11">
        <f>IF(COUNTIF(W2:W19,"&lt;0"),AVERAGEIF(W2:W19,"&lt;0"),"—")</f>
        <v/>
      </c>
      <c r="X22" s="11">
        <f>IF(COUNTIF(X2:X19,"&lt;0"),AVERAGEIF(X2:X19,"&lt;0"),"—")</f>
        <v/>
      </c>
      <c r="Y22" s="11">
        <f>IF(COUNTIF(Y2:Y19,"&lt;0"),AVERAGEIF(Y2:Y19,"&lt;0"),"—")</f>
        <v/>
      </c>
      <c r="Z22" s="11">
        <f>IF(COUNTIF(Z2:Z19,"&lt;0"),AVERAGEIF(Z2:Z19,"&lt;0"),"—")</f>
        <v/>
      </c>
      <c r="AA22" s="11">
        <f>IF(COUNTIF(AA2:AA19,"&lt;0"),AVERAGEIF(AA2:AA19,"&lt;0"),"—")</f>
        <v/>
      </c>
      <c r="AB22" s="13">
        <f>IF(COUNTIF(AB2:AB19,"&lt;0"),AVERAGEIF(AB2:AB19,"&lt;0"),"—")</f>
        <v/>
      </c>
      <c r="AC22" s="11">
        <f>IF(COUNTIF(AC2:AC19,"&lt;0"),AVERAGEIF(AC2:AC19,"&lt;0"),"—")</f>
        <v/>
      </c>
      <c r="AD22" s="11">
        <f>IF(COUNTIF(AD2:AD19,"&lt;0"),AVERAGEIF(AD2:AD19,"&lt;0"),"—")</f>
        <v/>
      </c>
      <c r="AE22" s="11">
        <f>IF(COUNTIF(AE2:AE19,"&lt;0"),AVERAGEIF(AE2:AE19,"&lt;0"),"—")</f>
        <v/>
      </c>
    </row>
    <row r="23">
      <c r="A23" s="10" t="inlineStr">
        <is>
          <t>1 Av</t>
        </is>
      </c>
      <c r="B23" s="11">
        <f>IF(COUNTA(B2:B19),AVERAGE(B2:B19),"—")</f>
        <v/>
      </c>
      <c r="C23" s="11">
        <f>IF(COUNTA(C2:C19),AVERAGE(C2:C19),"—")</f>
        <v/>
      </c>
      <c r="D23" s="12">
        <f>IF(COUNTA(D2:D19),AVERAGE(D2:D19),"—")</f>
        <v/>
      </c>
      <c r="E23" s="11">
        <f>IF(COUNTA(E2:E19),AVERAGE(E2:E19),"—")</f>
        <v/>
      </c>
      <c r="F23" s="11">
        <f>IF(COUNTA(F2:F19),AVERAGE(F2:F19),"—")</f>
        <v/>
      </c>
      <c r="G23" s="11">
        <f>IF(COUNTA(G2:G19),AVERAGE(G2:G19),"—")</f>
        <v/>
      </c>
      <c r="H23" s="11">
        <f>IF(COUNTA(H2:H19),AVERAGE(H2:H19),"—")</f>
        <v/>
      </c>
      <c r="I23" s="11">
        <f>IF(COUNTA(I2:I19),AVERAGE(I2:I19),"—")</f>
        <v/>
      </c>
      <c r="J23" s="11">
        <f>IF(COUNTA(J2:J19),AVERAGE(J2:J19),"—")</f>
        <v/>
      </c>
      <c r="K23" s="11">
        <f>IF(COUNTA(K2:K19),AVERAGE(K2:K19),"—")</f>
        <v/>
      </c>
      <c r="L23" s="11">
        <f>IF(COUNTA(L2:L19),AVERAGE(L2:L19),"—")</f>
        <v/>
      </c>
      <c r="M23" s="13">
        <f>IF(COUNTA(M2:M19),AVERAGE(M2:M19),"—")</f>
        <v/>
      </c>
      <c r="N23" s="11">
        <f>IF(COUNTA(N2:N19),AVERAGE(N2:N19),"—")</f>
        <v/>
      </c>
      <c r="O23" s="11">
        <f>IF(COUNTA(O2:O19),AVERAGE(O2:O19),"—")</f>
        <v/>
      </c>
      <c r="P23" s="11">
        <f>IF(COUNTA(P2:P19),AVERAGE(P2:P19),"—")</f>
        <v/>
      </c>
      <c r="Q23" s="11">
        <f>IF(COUNTA(Q2:Q19),AVERAGE(Q2:Q19),"—")</f>
        <v/>
      </c>
      <c r="R23" s="11">
        <f>IF(COUNTA(R2:R19),AVERAGE(R2:R19),"—")</f>
        <v/>
      </c>
      <c r="S23" s="11">
        <f>IF(COUNTA(S2:S19),AVERAGE(S2:S19),"—")</f>
        <v/>
      </c>
      <c r="T23" s="11">
        <f>IF(COUNTA(T2:T19),AVERAGE(T2:T19),"—")</f>
        <v/>
      </c>
      <c r="U23" s="11">
        <f>IF(COUNTA(U2:U19),AVERAGE(U2:U19),"—")</f>
        <v/>
      </c>
      <c r="V23" s="11">
        <f>IF(COUNTA(V2:V19),AVERAGE(V2:V19),"—")</f>
        <v/>
      </c>
      <c r="W23" s="11">
        <f>IF(COUNTA(W2:W19),AVERAGE(W2:W19),"—")</f>
        <v/>
      </c>
      <c r="X23" s="11">
        <f>IF(COUNTA(X2:X19),AVERAGE(X2:X19),"—")</f>
        <v/>
      </c>
      <c r="Y23" s="11">
        <f>IF(COUNTA(Y2:Y19),AVERAGE(Y2:Y19),"—")</f>
        <v/>
      </c>
      <c r="Z23" s="11">
        <f>IF(COUNTA(Z2:Z19),AVERAGE(Z2:Z19),"—")</f>
        <v/>
      </c>
      <c r="AA23" s="11">
        <f>IF(COUNTA(AA2:AA19),AVERAGE(AA2:AA19),"—")</f>
        <v/>
      </c>
      <c r="AB23" s="13">
        <f>IF(COUNTA(AB2:AB19),AVERAGE(AB2:AB19),"—")</f>
        <v/>
      </c>
      <c r="AC23" s="11">
        <f>IF(COUNTA(AC2:AC19),AVERAGE(AC2:AC19),"—")</f>
        <v/>
      </c>
      <c r="AD23" s="11">
        <f>IF(COUNTA(AD2:AD19),AVERAGE(AD2:AD19),"—")</f>
        <v/>
      </c>
      <c r="AE23" s="11">
        <f>IF(COUNTA(AE2:AE19),AVERAGE(AE2:AE19),"—")</f>
        <v/>
      </c>
    </row>
    <row r="24">
      <c r="A24" s="10" t="inlineStr">
        <is>
          <t>Spread</t>
        </is>
      </c>
      <c r="B24" s="11">
        <f>IF(AND(ISNUMBER(B21),ISNUMBER(B22)),B21-B22,"—")</f>
        <v/>
      </c>
      <c r="C24" s="11">
        <f>IF(AND(ISNUMBER(C21),ISNUMBER(C22)),C21-C22,"—")</f>
        <v/>
      </c>
      <c r="D24" s="12">
        <f>IF(AND(ISNUMBER(D21),ISNUMBER(D22)),D21-D22,"—")</f>
        <v/>
      </c>
      <c r="E24" s="11">
        <f>IF(AND(ISNUMBER(E21),ISNUMBER(E22)),E21-E22,"—")</f>
        <v/>
      </c>
      <c r="F24" s="11">
        <f>IF(AND(ISNUMBER(F21),ISNUMBER(F22)),F21-F22,"—")</f>
        <v/>
      </c>
      <c r="G24" s="11">
        <f>IF(AND(ISNUMBER(G21),ISNUMBER(G22)),G21-G22,"—")</f>
        <v/>
      </c>
      <c r="H24" s="11">
        <f>IF(AND(ISNUMBER(H21),ISNUMBER(H22)),H21-H22,"—")</f>
        <v/>
      </c>
      <c r="I24" s="11">
        <f>IF(AND(ISNUMBER(I21),ISNUMBER(I22)),I21-I22,"—")</f>
        <v/>
      </c>
      <c r="J24" s="11">
        <f>IF(AND(ISNUMBER(J21),ISNUMBER(J22)),J21-J22,"—")</f>
        <v/>
      </c>
      <c r="K24" s="11">
        <f>IF(AND(ISNUMBER(K21),ISNUMBER(K22)),K21-K22,"—")</f>
        <v/>
      </c>
      <c r="L24" s="11">
        <f>IF(AND(ISNUMBER(L21),ISNUMBER(L22)),L21-L22,"—")</f>
        <v/>
      </c>
      <c r="M24" s="13">
        <f>IF(AND(ISNUMBER(M21),ISNUMBER(M22)),M21-M22,"—")</f>
        <v/>
      </c>
      <c r="N24" s="11">
        <f>IF(AND(ISNUMBER(N21),ISNUMBER(N22)),N21-N22,"—")</f>
        <v/>
      </c>
      <c r="O24" s="11">
        <f>IF(AND(ISNUMBER(O21),ISNUMBER(O22)),O21-O22,"—")</f>
        <v/>
      </c>
      <c r="P24" s="11">
        <f>IF(AND(ISNUMBER(P21),ISNUMBER(P22)),P21-P22,"—")</f>
        <v/>
      </c>
      <c r="Q24" s="11">
        <f>IF(AND(ISNUMBER(Q21),ISNUMBER(Q22)),Q21-Q22,"—")</f>
        <v/>
      </c>
      <c r="R24" s="11">
        <f>IF(AND(ISNUMBER(R21),ISNUMBER(R22)),R21-R22,"—")</f>
        <v/>
      </c>
      <c r="S24" s="11">
        <f>IF(AND(ISNUMBER(S21),ISNUMBER(S22)),S21-S22,"—")</f>
        <v/>
      </c>
      <c r="T24" s="11">
        <f>IF(AND(ISNUMBER(T21),ISNUMBER(T22)),T21-T22,"—")</f>
        <v/>
      </c>
      <c r="U24" s="11">
        <f>IF(AND(ISNUMBER(U21),ISNUMBER(U22)),U21-U22,"—")</f>
        <v/>
      </c>
      <c r="V24" s="11">
        <f>IF(AND(ISNUMBER(V21),ISNUMBER(V22)),V21-V22,"—")</f>
        <v/>
      </c>
      <c r="W24" s="11">
        <f>IF(AND(ISNUMBER(W21),ISNUMBER(W22)),W21-W22,"—")</f>
        <v/>
      </c>
      <c r="X24" s="11">
        <f>IF(AND(ISNUMBER(X21),ISNUMBER(X22)),X21-X22,"—")</f>
        <v/>
      </c>
      <c r="Y24" s="11">
        <f>IF(AND(ISNUMBER(Y21),ISNUMBER(Y22)),Y21-Y22,"—")</f>
        <v/>
      </c>
      <c r="Z24" s="11">
        <f>IF(AND(ISNUMBER(Z21),ISNUMBER(Z22)),Z21-Z22,"—")</f>
        <v/>
      </c>
      <c r="AA24" s="11">
        <f>IF(AND(ISNUMBER(AA21),ISNUMBER(AA22)),AA21-AA22,"—")</f>
        <v/>
      </c>
      <c r="AB24" s="13">
        <f>IF(AND(ISNUMBER(AB21),ISNUMBER(AB22)),AB21-AB22,"—")</f>
        <v/>
      </c>
      <c r="AC24" s="11">
        <f>IF(AND(ISNUMBER(AC21),ISNUMBER(AC22)),AC21-AC22,"—")</f>
        <v/>
      </c>
      <c r="AD24" s="11">
        <f>IF(AND(ISNUMBER(AD21),ISNUMBER(AD22)),AD21-AD22,"—")</f>
        <v/>
      </c>
      <c r="AE24" s="11">
        <f>IF(AND(ISNUMBER(AE21),ISNUMBER(AE22)),AE21-AE22,"—")</f>
        <v/>
      </c>
    </row>
    <row r="25">
      <c r="A25" s="10" t="inlineStr">
        <is>
          <t>% Pos</t>
        </is>
      </c>
      <c r="B25" s="14">
        <f>IF(COUNTA(B2:B19),COUNTIF(B2:B19,"&gt;0")/COUNTA(B2:B19),"—")</f>
        <v/>
      </c>
      <c r="C25" s="14">
        <f>IF(COUNTA(C2:C19),COUNTIF(C2:C19,"&gt;0")/COUNTA(C2:C19),"—")</f>
        <v/>
      </c>
      <c r="D25" s="14">
        <f>IF(COUNTA(D2:D19),COUNTIF(D2:D19,"&gt;0")/COUNTA(D2:D19),"—")</f>
        <v/>
      </c>
      <c r="E25" s="14">
        <f>IF(COUNTA(E2:E19),COUNTIF(E2:E19,"&gt;0")/COUNTA(E2:E19),"—")</f>
        <v/>
      </c>
      <c r="F25" s="14">
        <f>IF(COUNTA(F2:F19),COUNTIF(F2:F19,"&gt;0")/COUNTA(F2:F19),"—")</f>
        <v/>
      </c>
      <c r="G25" s="14">
        <f>IF(COUNTA(G2:G19),COUNTIF(G2:G19,"&gt;0")/COUNTA(G2:G19),"—")</f>
        <v/>
      </c>
      <c r="H25" s="14">
        <f>IF(COUNTA(H2:H19),COUNTIF(H2:H19,"&gt;0")/COUNTA(H2:H19),"—")</f>
        <v/>
      </c>
      <c r="I25" s="14">
        <f>IF(COUNTA(I2:I19),COUNTIF(I2:I19,"&gt;0")/COUNTA(I2:I19),"—")</f>
        <v/>
      </c>
      <c r="J25" s="14">
        <f>IF(COUNTA(J2:J19),COUNTIF(J2:J19,"&gt;0")/COUNTA(J2:J19),"—")</f>
        <v/>
      </c>
      <c r="K25" s="14">
        <f>IF(COUNTA(K2:K19),COUNTIF(K2:K19,"&gt;0")/COUNTA(K2:K19),"—")</f>
        <v/>
      </c>
      <c r="L25" s="14">
        <f>IF(COUNTA(L2:L19),COUNTIF(L2:L19,"&gt;0")/COUNTA(L2:L19),"—")</f>
        <v/>
      </c>
      <c r="M25" s="14">
        <f>IF(COUNTA(M2:M19),COUNTIF(M2:M19,"&gt;0")/COUNTA(M2:M19),"—")</f>
        <v/>
      </c>
      <c r="N25" s="14">
        <f>IF(COUNTA(N2:N19),COUNTIF(N2:N19,"&gt;0")/COUNTA(N2:N19),"—")</f>
        <v/>
      </c>
      <c r="O25" s="14">
        <f>IF(COUNTA(O2:O19),COUNTIF(O2:O19,"&gt;0")/COUNTA(O2:O19),"—")</f>
        <v/>
      </c>
      <c r="P25" s="14">
        <f>IF(COUNTA(P2:P19),COUNTIF(P2:P19,"&gt;0")/COUNTA(P2:P19),"—")</f>
        <v/>
      </c>
      <c r="Q25" s="14">
        <f>IF(COUNTA(Q2:Q19),COUNTIF(Q2:Q19,"&gt;0")/COUNTA(Q2:Q19),"—")</f>
        <v/>
      </c>
      <c r="R25" s="14">
        <f>IF(COUNTA(R2:R19),COUNTIF(R2:R19,"&gt;0")/COUNTA(R2:R19),"—")</f>
        <v/>
      </c>
      <c r="S25" s="14">
        <f>IF(COUNTA(S2:S19),COUNTIF(S2:S19,"&gt;0")/COUNTA(S2:S19),"—")</f>
        <v/>
      </c>
      <c r="T25" s="14">
        <f>IF(COUNTA(T2:T19),COUNTIF(T2:T19,"&gt;0")/COUNTA(T2:T19),"—")</f>
        <v/>
      </c>
      <c r="U25" s="14">
        <f>IF(COUNTA(U2:U19),COUNTIF(U2:U19,"&gt;0")/COUNTA(U2:U19),"—")</f>
        <v/>
      </c>
      <c r="V25" s="14">
        <f>IF(COUNTA(V2:V19),COUNTIF(V2:V19,"&gt;0")/COUNTA(V2:V19),"—")</f>
        <v/>
      </c>
      <c r="W25" s="14">
        <f>IF(COUNTA(W2:W19),COUNTIF(W2:W19,"&gt;0")/COUNTA(W2:W19),"—")</f>
        <v/>
      </c>
      <c r="X25" s="14">
        <f>IF(COUNTA(X2:X19),COUNTIF(X2:X19,"&gt;0")/COUNTA(X2:X19),"—")</f>
        <v/>
      </c>
      <c r="Y25" s="14">
        <f>IF(COUNTA(Y2:Y19),COUNTIF(Y2:Y19,"&gt;0")/COUNTA(Y2:Y19),"—")</f>
        <v/>
      </c>
      <c r="Z25" s="14">
        <f>IF(COUNTA(Z2:Z19),COUNTIF(Z2:Z19,"&gt;0")/COUNTA(Z2:Z19),"—")</f>
        <v/>
      </c>
      <c r="AA25" s="14">
        <f>IF(COUNTA(AA2:AA19),COUNTIF(AA2:AA19,"&gt;0")/COUNTA(AA2:AA19),"—")</f>
        <v/>
      </c>
      <c r="AB25" s="14">
        <f>IF(COUNTA(AB2:AB19),COUNTIF(AB2:AB19,"&gt;0")/COUNTA(AB2:AB19),"—")</f>
        <v/>
      </c>
      <c r="AC25" s="14">
        <f>IF(COUNTA(AC2:AC19),COUNTIF(AC2:AC19,"&gt;0")/COUNTA(AC2:AC19),"—")</f>
        <v/>
      </c>
      <c r="AD25" s="14">
        <f>IF(COUNTA(AD2:AD19),COUNTIF(AD2:AD19,"&gt;0")/COUNTA(AD2:AD19),"—")</f>
        <v/>
      </c>
      <c r="AE25" s="14">
        <f>IF(COUNTA(AE2:AE19),COUNTIF(AE2:AE19,"&gt;0")/COUNTA(AE2:AE19),"—")</f>
        <v/>
      </c>
    </row>
    <row r="26">
      <c r="A26" s="10" t="inlineStr">
        <is>
          <t>% Neg</t>
        </is>
      </c>
      <c r="B26" s="14">
        <f>IF(COUNTA(B2:B19),COUNTIF(B2:B19,"&lt;0")/COUNTA(B2:B19),"—")</f>
        <v/>
      </c>
      <c r="C26" s="14">
        <f>IF(COUNTA(C2:C19),COUNTIF(C2:C19,"&lt;0")/COUNTA(C2:C19),"—")</f>
        <v/>
      </c>
      <c r="D26" s="14">
        <f>IF(COUNTA(D2:D19),COUNTIF(D2:D19,"&lt;0")/COUNTA(D2:D19),"—")</f>
        <v/>
      </c>
      <c r="E26" s="14">
        <f>IF(COUNTA(E2:E19),COUNTIF(E2:E19,"&lt;0")/COUNTA(E2:E19),"—")</f>
        <v/>
      </c>
      <c r="F26" s="14">
        <f>IF(COUNTA(F2:F19),COUNTIF(F2:F19,"&lt;0")/COUNTA(F2:F19),"—")</f>
        <v/>
      </c>
      <c r="G26" s="14">
        <f>IF(COUNTA(G2:G19),COUNTIF(G2:G19,"&lt;0")/COUNTA(G2:G19),"—")</f>
        <v/>
      </c>
      <c r="H26" s="14">
        <f>IF(COUNTA(H2:H19),COUNTIF(H2:H19,"&lt;0")/COUNTA(H2:H19),"—")</f>
        <v/>
      </c>
      <c r="I26" s="14">
        <f>IF(COUNTA(I2:I19),COUNTIF(I2:I19,"&lt;0")/COUNTA(I2:I19),"—")</f>
        <v/>
      </c>
      <c r="J26" s="14">
        <f>IF(COUNTA(J2:J19),COUNTIF(J2:J19,"&lt;0")/COUNTA(J2:J19),"—")</f>
        <v/>
      </c>
      <c r="K26" s="14">
        <f>IF(COUNTA(K2:K19),COUNTIF(K2:K19,"&lt;0")/COUNTA(K2:K19),"—")</f>
        <v/>
      </c>
      <c r="L26" s="14">
        <f>IF(COUNTA(L2:L19),COUNTIF(L2:L19,"&lt;0")/COUNTA(L2:L19),"—")</f>
        <v/>
      </c>
      <c r="M26" s="14">
        <f>IF(COUNTA(M2:M19),COUNTIF(M2:M19,"&lt;0")/COUNTA(M2:M19),"—")</f>
        <v/>
      </c>
      <c r="N26" s="14">
        <f>IF(COUNTA(N2:N19),COUNTIF(N2:N19,"&lt;0")/COUNTA(N2:N19),"—")</f>
        <v/>
      </c>
      <c r="O26" s="14">
        <f>IF(COUNTA(O2:O19),COUNTIF(O2:O19,"&lt;0")/COUNTA(O2:O19),"—")</f>
        <v/>
      </c>
      <c r="P26" s="14">
        <f>IF(COUNTA(P2:P19),COUNTIF(P2:P19,"&lt;0")/COUNTA(P2:P19),"—")</f>
        <v/>
      </c>
      <c r="Q26" s="14">
        <f>IF(COUNTA(Q2:Q19),COUNTIF(Q2:Q19,"&lt;0")/COUNTA(Q2:Q19),"—")</f>
        <v/>
      </c>
      <c r="R26" s="14">
        <f>IF(COUNTA(R2:R19),COUNTIF(R2:R19,"&lt;0")/COUNTA(R2:R19),"—")</f>
        <v/>
      </c>
      <c r="S26" s="14">
        <f>IF(COUNTA(S2:S19),COUNTIF(S2:S19,"&lt;0")/COUNTA(S2:S19),"—")</f>
        <v/>
      </c>
      <c r="T26" s="14">
        <f>IF(COUNTA(T2:T19),COUNTIF(T2:T19,"&lt;0")/COUNTA(T2:T19),"—")</f>
        <v/>
      </c>
      <c r="U26" s="14">
        <f>IF(COUNTA(U2:U19),COUNTIF(U2:U19,"&lt;0")/COUNTA(U2:U19),"—")</f>
        <v/>
      </c>
      <c r="V26" s="14">
        <f>IF(COUNTA(V2:V19),COUNTIF(V2:V19,"&lt;0")/COUNTA(V2:V19),"—")</f>
        <v/>
      </c>
      <c r="W26" s="14">
        <f>IF(COUNTA(W2:W19),COUNTIF(W2:W19,"&lt;0")/COUNTA(W2:W19),"—")</f>
        <v/>
      </c>
      <c r="X26" s="14">
        <f>IF(COUNTA(X2:X19),COUNTIF(X2:X19,"&lt;0")/COUNTA(X2:X19),"—")</f>
        <v/>
      </c>
      <c r="Y26" s="14">
        <f>IF(COUNTA(Y2:Y19),COUNTIF(Y2:Y19,"&lt;0")/COUNTA(Y2:Y19),"—")</f>
        <v/>
      </c>
      <c r="Z26" s="14">
        <f>IF(COUNTA(Z2:Z19),COUNTIF(Z2:Z19,"&lt;0")/COUNTA(Z2:Z19),"—")</f>
        <v/>
      </c>
      <c r="AA26" s="14">
        <f>IF(COUNTA(AA2:AA19),COUNTIF(AA2:AA19,"&lt;0")/COUNTA(AA2:AA19),"—")</f>
        <v/>
      </c>
      <c r="AB26" s="14">
        <f>IF(COUNTA(AB2:AB19),COUNTIF(AB2:AB19,"&lt;0")/COUNTA(AB2:AB19),"—")</f>
        <v/>
      </c>
      <c r="AC26" s="14">
        <f>IF(COUNTA(AC2:AC19),COUNTIF(AC2:AC19,"&lt;0")/COUNTA(AC2:AC19),"—")</f>
        <v/>
      </c>
      <c r="AD26" s="14">
        <f>IF(COUNTA(AD2:AD19),COUNTIF(AD2:AD19,"&lt;0")/COUNTA(AD2:AD19),"—")</f>
        <v/>
      </c>
      <c r="AE26" s="14">
        <f>IF(COUNTA(AE2:AE19),COUNTIF(AE2:AE19,"&lt;0")/COUNTA(AE2:AE19),"—")</f>
        <v/>
      </c>
    </row>
  </sheetData>
  <autoFilter ref="A1:AE1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E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.3" customWidth="1" min="1" max="1"/>
  </cols>
  <sheetData>
    <row r="1" ht="70" customHeight="1">
      <c r="A1" s="1" t="inlineStr">
        <is>
          <t>Time</t>
        </is>
      </c>
      <c r="B1" s="1" t="inlineStr">
        <is>
          <t>Club Speed (Mph)</t>
        </is>
      </c>
      <c r="C1" s="1" t="inlineStr">
        <is>
          <t>Ball Speed (Mph)</t>
        </is>
      </c>
      <c r="D1" s="1" t="inlineStr">
        <is>
          <t>Smash Factor</t>
        </is>
      </c>
      <c r="E1" s="1" t="inlineStr">
        <is>
          <t>Carry (Yds)</t>
        </is>
      </c>
      <c r="F1" s="1" t="inlineStr">
        <is>
          <t>Total (Yds)</t>
        </is>
      </c>
      <c r="G1" s="1" t="inlineStr">
        <is>
          <t>Impact Height (mm)</t>
        </is>
      </c>
      <c r="H1" s="1" t="inlineStr">
        <is>
          <t>Impact Offset (mm)</t>
        </is>
      </c>
      <c r="I1" s="1" t="inlineStr">
        <is>
          <t>Club Path (Deg)</t>
        </is>
      </c>
      <c r="J1" s="1" t="inlineStr">
        <is>
          <t>Face Angle (Deg)</t>
        </is>
      </c>
      <c r="K1" s="1" t="inlineStr">
        <is>
          <t>Face To Path (Deg)</t>
        </is>
      </c>
      <c r="L1" s="1" t="inlineStr">
        <is>
          <t>Launch Direction (Deg)</t>
        </is>
      </c>
      <c r="M1" s="1" t="inlineStr">
        <is>
          <t>Attack Angle (Deg)</t>
        </is>
      </c>
      <c r="N1" s="1" t="inlineStr">
        <is>
          <t>Dynamic Loft (Deg)</t>
        </is>
      </c>
      <c r="O1" s="1" t="inlineStr">
        <is>
          <t>Launch Angle (Deg)</t>
        </is>
      </c>
      <c r="P1" s="1" t="inlineStr">
        <is>
          <t>Spin Loft (Deg)</t>
        </is>
      </c>
      <c r="Q1" s="1" t="inlineStr">
        <is>
          <t>Spin Rate (Rpm)</t>
        </is>
      </c>
      <c r="R1" s="1" t="inlineStr">
        <is>
          <t>Spin Axis (Deg)</t>
        </is>
      </c>
      <c r="S1" s="1" t="inlineStr">
        <is>
          <t>Curve (Ft)</t>
        </is>
      </c>
      <c r="T1" s="1" t="inlineStr">
        <is>
          <t>Carry Side (Ft)</t>
        </is>
      </c>
      <c r="U1" s="1" t="inlineStr">
        <is>
          <t>Total Side (Ft)</t>
        </is>
      </c>
      <c r="V1" s="1" t="inlineStr">
        <is>
          <t>Max Height (Ft)</t>
        </is>
      </c>
      <c r="W1" s="1" t="inlineStr">
        <is>
          <t>Landing Angle (Deg)</t>
        </is>
      </c>
      <c r="X1" s="1" t="inlineStr">
        <is>
          <t>Swing Direction (Deg)</t>
        </is>
      </c>
      <c r="Y1" s="1" t="inlineStr">
        <is>
          <t>Swing Plane (Deg)</t>
        </is>
      </c>
      <c r="Z1" s="1" t="inlineStr">
        <is>
          <t>Swing Radius</t>
        </is>
      </c>
      <c r="AA1" s="1" t="inlineStr">
        <is>
          <t>DPlane Tilt</t>
        </is>
      </c>
      <c r="AB1" s="1" t="inlineStr">
        <is>
          <t>Low Point (In)</t>
        </is>
      </c>
      <c r="AC1" s="1" t="inlineStr">
        <is>
          <t>Landing Height</t>
        </is>
      </c>
      <c r="AD1" s="1" t="inlineStr">
        <is>
          <t>Hang Time (Sec)</t>
        </is>
      </c>
      <c r="AE1" s="1" t="inlineStr">
        <is>
          <t>Dynamic Lie (Deg)</t>
        </is>
      </c>
    </row>
    <row r="2">
      <c r="A2" s="2" t="n">
        <v>46100.54594907408</v>
      </c>
      <c r="B2" s="3" t="n">
        <v>87.39</v>
      </c>
      <c r="C2" s="3" t="n">
        <v>125.23</v>
      </c>
      <c r="D2" s="4" t="n">
        <v>1.43</v>
      </c>
      <c r="E2" s="3" t="n">
        <v>197.21</v>
      </c>
      <c r="F2" s="3" t="n">
        <v>226.38</v>
      </c>
      <c r="G2" s="3" t="n">
        <v>24.39</v>
      </c>
      <c r="H2" s="3" t="n">
        <v>-15.86</v>
      </c>
      <c r="I2" s="3" t="n">
        <v>0.8</v>
      </c>
      <c r="J2" s="3" t="n">
        <v>-1.67</v>
      </c>
      <c r="K2" s="3" t="n">
        <v>-2.47</v>
      </c>
      <c r="L2" s="3" t="n">
        <v>-1.36</v>
      </c>
      <c r="M2" s="5" t="n">
        <v>1.8</v>
      </c>
      <c r="N2" s="3" t="n">
        <v>16.85</v>
      </c>
      <c r="O2" s="3" t="n">
        <v>14.98</v>
      </c>
      <c r="P2" s="3" t="n">
        <v>15.14</v>
      </c>
      <c r="Q2" s="3" t="n">
        <v>2349</v>
      </c>
      <c r="R2" s="3" t="n">
        <v>-0.35</v>
      </c>
      <c r="S2" s="3" t="n">
        <v>-1.2</v>
      </c>
      <c r="T2" s="3" t="n">
        <v>-15.23</v>
      </c>
      <c r="U2" s="3" t="n">
        <v>-17.68</v>
      </c>
      <c r="V2" s="3" t="n">
        <v>67.76000000000001</v>
      </c>
      <c r="W2" s="3" t="n">
        <v>32.78</v>
      </c>
      <c r="X2" s="3" t="n">
        <v>1.92</v>
      </c>
      <c r="Y2" s="3" t="n">
        <v>47.66</v>
      </c>
      <c r="Z2" s="3" t="n">
        <v>1.28</v>
      </c>
      <c r="AA2" s="3" t="n">
        <v>-8.710000000000001</v>
      </c>
      <c r="AB2" s="5" t="n">
        <v>-3.39</v>
      </c>
      <c r="AC2" s="3" t="n">
        <v/>
      </c>
      <c r="AD2" s="3" t="n">
        <v>5.41</v>
      </c>
      <c r="AE2" s="3" t="n">
        <v>64.91</v>
      </c>
    </row>
    <row r="3">
      <c r="A3" s="6" t="n">
        <v>46100.54748842592</v>
      </c>
      <c r="B3" s="7" t="n">
        <v>89.45</v>
      </c>
      <c r="C3" s="7" t="n">
        <v>131.79</v>
      </c>
      <c r="D3" s="8" t="n">
        <v>1.47</v>
      </c>
      <c r="E3" s="7" t="n">
        <v>209.91</v>
      </c>
      <c r="F3" s="7" t="n">
        <v>235.88</v>
      </c>
      <c r="G3" s="7" t="n">
        <v/>
      </c>
      <c r="H3" s="7" t="n">
        <v/>
      </c>
      <c r="I3" s="7" t="n">
        <v>2.5</v>
      </c>
      <c r="J3" s="7" t="n">
        <v>-0.16</v>
      </c>
      <c r="K3" s="7" t="n">
        <v>-2.66</v>
      </c>
      <c r="L3" s="7" t="n">
        <v>0.21</v>
      </c>
      <c r="M3" s="9" t="n">
        <v>0.7</v>
      </c>
      <c r="N3" s="7" t="n">
        <v>15.86</v>
      </c>
      <c r="O3" s="7" t="n">
        <v>13.87</v>
      </c>
      <c r="P3" s="7" t="n">
        <v>15.44</v>
      </c>
      <c r="Q3" s="7" t="n">
        <v>2643.16</v>
      </c>
      <c r="R3" s="7" t="n">
        <v>-7.11</v>
      </c>
      <c r="S3" s="7" t="n">
        <v>-29.65</v>
      </c>
      <c r="T3" s="7" t="n">
        <v>-27.35</v>
      </c>
      <c r="U3" s="7" t="n">
        <v>-35.03</v>
      </c>
      <c r="V3" s="7" t="n">
        <v>73.59</v>
      </c>
      <c r="W3" s="7" t="n">
        <v>34.45</v>
      </c>
      <c r="X3" s="7" t="n">
        <v>3.05</v>
      </c>
      <c r="Y3" s="7" t="n">
        <v>54.06</v>
      </c>
      <c r="Z3" s="7" t="n">
        <v>1.44</v>
      </c>
      <c r="AA3" s="7" t="n">
        <v>-9.949999999999999</v>
      </c>
      <c r="AB3" s="9" t="n">
        <v>-0.79</v>
      </c>
      <c r="AC3" s="7" t="n">
        <v/>
      </c>
      <c r="AD3" s="7" t="n">
        <v>5.76</v>
      </c>
      <c r="AE3" s="7" t="n">
        <v/>
      </c>
    </row>
    <row r="4">
      <c r="A4" s="2" t="n">
        <v>46100.54636574074</v>
      </c>
      <c r="B4" s="3" t="n">
        <v>89.58</v>
      </c>
      <c r="C4" s="3" t="n">
        <v>133.21</v>
      </c>
      <c r="D4" s="4" t="n">
        <v>1.49</v>
      </c>
      <c r="E4" s="3" t="n">
        <v>207.88</v>
      </c>
      <c r="F4" s="3" t="n">
        <v>241.29</v>
      </c>
      <c r="G4" s="3" t="n">
        <v/>
      </c>
      <c r="H4" s="3" t="n">
        <v/>
      </c>
      <c r="I4" s="3" t="n">
        <v>2.7</v>
      </c>
      <c r="J4" s="3" t="n">
        <v>-1.61</v>
      </c>
      <c r="K4" s="3" t="n">
        <v>-4.31</v>
      </c>
      <c r="L4" s="3" t="n">
        <v>-1.13</v>
      </c>
      <c r="M4" s="5" t="n">
        <v>1.3</v>
      </c>
      <c r="N4" s="3" t="n">
        <v>14.91</v>
      </c>
      <c r="O4" s="3" t="n">
        <v>13.47</v>
      </c>
      <c r="P4" s="3" t="n">
        <v>14.29</v>
      </c>
      <c r="Q4" s="3" t="n">
        <v>2008.09</v>
      </c>
      <c r="R4" s="3" t="n">
        <v>-11.84</v>
      </c>
      <c r="S4" s="3" t="n">
        <v>-38.26</v>
      </c>
      <c r="T4" s="3" t="n">
        <v>-50.58</v>
      </c>
      <c r="U4" s="3" t="n">
        <v>-65.66</v>
      </c>
      <c r="V4" s="3" t="n">
        <v>62.07</v>
      </c>
      <c r="W4" s="3" t="n">
        <v>29.17</v>
      </c>
      <c r="X4" s="3" t="n">
        <v>3.51</v>
      </c>
      <c r="Y4" s="3" t="n">
        <v>57.27</v>
      </c>
      <c r="Z4" s="3" t="n">
        <v>1.44</v>
      </c>
      <c r="AA4" s="3" t="n">
        <v>-17.09</v>
      </c>
      <c r="AB4" s="5" t="n">
        <v>-1.5</v>
      </c>
      <c r="AC4" s="3" t="n">
        <v/>
      </c>
      <c r="AD4" s="3" t="n">
        <v>5.19</v>
      </c>
      <c r="AE4" s="3" t="n">
        <v/>
      </c>
    </row>
    <row r="5">
      <c r="A5" s="6" t="n">
        <v>46100.54710648148</v>
      </c>
      <c r="B5" s="7" t="n">
        <v>89.23</v>
      </c>
      <c r="C5" s="7" t="n">
        <v>127.29</v>
      </c>
      <c r="D5" s="8" t="n">
        <v>1.43</v>
      </c>
      <c r="E5" s="7" t="n">
        <v>204.81</v>
      </c>
      <c r="F5" s="7" t="n">
        <v>232.6</v>
      </c>
      <c r="G5" s="7" t="n">
        <v>22.94</v>
      </c>
      <c r="H5" s="7" t="n">
        <v>-9.890000000000001</v>
      </c>
      <c r="I5" s="7" t="n">
        <v>2.6</v>
      </c>
      <c r="J5" s="7" t="n">
        <v>-0.13</v>
      </c>
      <c r="K5" s="7" t="n">
        <v>-2.73</v>
      </c>
      <c r="L5" s="7" t="n">
        <v>0.18</v>
      </c>
      <c r="M5" s="9" t="n">
        <v>2.8</v>
      </c>
      <c r="N5" s="7" t="n">
        <v>17.96</v>
      </c>
      <c r="O5" s="7" t="n">
        <v>16.3</v>
      </c>
      <c r="P5" s="7" t="n">
        <v>15.33</v>
      </c>
      <c r="Q5" s="7" t="n">
        <v>2128.04</v>
      </c>
      <c r="R5" s="7" t="n">
        <v>-5.35</v>
      </c>
      <c r="S5" s="7" t="n">
        <v>-18.45</v>
      </c>
      <c r="T5" s="7" t="n">
        <v>-16.5</v>
      </c>
      <c r="U5" s="7" t="n">
        <v>-21.51</v>
      </c>
      <c r="V5" s="7" t="n">
        <v>75.14</v>
      </c>
      <c r="W5" s="7" t="n">
        <v>34.11</v>
      </c>
      <c r="X5" s="7" t="n">
        <v>4.54</v>
      </c>
      <c r="Y5" s="7" t="n">
        <v>50.2</v>
      </c>
      <c r="Z5" s="7" t="n">
        <v>1.39</v>
      </c>
      <c r="AA5" s="7" t="n">
        <v>-9.869999999999999</v>
      </c>
      <c r="AB5" s="9" t="n">
        <v>-4.76</v>
      </c>
      <c r="AC5" s="7" t="n">
        <v/>
      </c>
      <c r="AD5" s="7" t="n">
        <v>5.58</v>
      </c>
      <c r="AE5" s="7" t="n">
        <v>59.64</v>
      </c>
    </row>
    <row r="6">
      <c r="A6" s="2" t="n">
        <v>46100.54672453704</v>
      </c>
      <c r="B6" s="3" t="n">
        <v>89.75</v>
      </c>
      <c r="C6" s="3" t="n">
        <v>128.98</v>
      </c>
      <c r="D6" s="4" t="n">
        <v>1.44</v>
      </c>
      <c r="E6" s="3" t="n">
        <v>175.02</v>
      </c>
      <c r="F6" s="3" t="n">
        <v>212.48</v>
      </c>
      <c r="G6" s="3" t="n">
        <v/>
      </c>
      <c r="H6" s="3" t="n">
        <v/>
      </c>
      <c r="I6" s="3" t="n">
        <v>4</v>
      </c>
      <c r="J6" s="3" t="n">
        <v>-6.42</v>
      </c>
      <c r="K6" s="3" t="n">
        <v>-10.43</v>
      </c>
      <c r="L6" s="3" t="n">
        <v>-5.37</v>
      </c>
      <c r="M6" s="5" t="n">
        <v>3.2</v>
      </c>
      <c r="N6" s="3" t="n">
        <v>12.75</v>
      </c>
      <c r="O6" s="3" t="n">
        <v>11.82</v>
      </c>
      <c r="P6" s="3" t="n">
        <v>13.96</v>
      </c>
      <c r="Q6" s="3" t="n">
        <v>1784.89</v>
      </c>
      <c r="R6" s="3" t="n">
        <v>-31.32</v>
      </c>
      <c r="S6" s="3" t="n">
        <v>-62.61</v>
      </c>
      <c r="T6" s="3" t="n">
        <v>-111.08</v>
      </c>
      <c r="U6" s="3" t="n">
        <v>-150.99</v>
      </c>
      <c r="V6" s="3" t="n">
        <v>39.65</v>
      </c>
      <c r="W6" s="3" t="n">
        <v>21.61</v>
      </c>
      <c r="X6" s="3" t="n">
        <v>5.72</v>
      </c>
      <c r="Y6" s="3" t="n">
        <v>55.97</v>
      </c>
      <c r="Z6" s="3" t="n">
        <v>1.37</v>
      </c>
      <c r="AA6" s="3" t="n">
        <v>-46.55</v>
      </c>
      <c r="AB6" s="5" t="n">
        <v>-5</v>
      </c>
      <c r="AC6" s="3" t="n">
        <v/>
      </c>
      <c r="AD6" s="3" t="n">
        <v>4.04</v>
      </c>
      <c r="AE6" s="3" t="n">
        <v/>
      </c>
    </row>
    <row r="7">
      <c r="A7" s="6" t="n">
        <v>46100.54777777778</v>
      </c>
      <c r="B7" s="7" t="n">
        <v>89.40000000000001</v>
      </c>
      <c r="C7" s="7" t="n">
        <v>132.83</v>
      </c>
      <c r="D7" s="8" t="n">
        <v>1.49</v>
      </c>
      <c r="E7" s="7" t="n">
        <v>213.34</v>
      </c>
      <c r="F7" s="7" t="n">
        <v>244.93</v>
      </c>
      <c r="G7" s="7" t="n">
        <v/>
      </c>
      <c r="H7" s="7" t="n">
        <v/>
      </c>
      <c r="I7" s="7" t="n">
        <v>4.3</v>
      </c>
      <c r="J7" s="7" t="n">
        <v>2.04</v>
      </c>
      <c r="K7" s="7" t="n">
        <v>-2.26</v>
      </c>
      <c r="L7" s="7" t="n">
        <v>2.27</v>
      </c>
      <c r="M7" s="9" t="n">
        <v>1.1</v>
      </c>
      <c r="N7" s="7" t="n">
        <v>16.38</v>
      </c>
      <c r="O7" s="7" t="n">
        <v>14.9</v>
      </c>
      <c r="P7" s="7" t="n">
        <v>15.43</v>
      </c>
      <c r="Q7" s="7" t="n">
        <v>1969</v>
      </c>
      <c r="R7" s="7" t="n">
        <v>-6.27</v>
      </c>
      <c r="S7" s="7" t="n">
        <v>-21.47</v>
      </c>
      <c r="T7" s="7" t="n">
        <v>3.85</v>
      </c>
      <c r="U7" s="7" t="n">
        <v>0.93</v>
      </c>
      <c r="V7" s="7" t="n">
        <v>71.26000000000001</v>
      </c>
      <c r="W7" s="7" t="n">
        <v>31.9</v>
      </c>
      <c r="X7" s="7" t="n">
        <v>5.06</v>
      </c>
      <c r="Y7" s="7" t="n">
        <v>54.99</v>
      </c>
      <c r="Z7" s="7" t="n">
        <v>1.4</v>
      </c>
      <c r="AA7" s="7" t="n">
        <v>-8.119999999999999</v>
      </c>
      <c r="AB7" s="9" t="n">
        <v>-1.3</v>
      </c>
      <c r="AC7" s="7" t="n">
        <v/>
      </c>
      <c r="AD7" s="7" t="n">
        <v>5.48</v>
      </c>
      <c r="AE7" s="7" t="n">
        <v/>
      </c>
    </row>
    <row r="8">
      <c r="A8" s="2" t="n">
        <v>46100.5490625</v>
      </c>
      <c r="B8" s="3" t="n">
        <v>84.52</v>
      </c>
      <c r="C8" s="3" t="n">
        <v>112.04</v>
      </c>
      <c r="D8" s="4" t="n">
        <v>1.33</v>
      </c>
      <c r="E8" s="3" t="n">
        <v>169.7</v>
      </c>
      <c r="F8" s="3" t="n">
        <v>192.53</v>
      </c>
      <c r="G8" s="3" t="n">
        <v>3.57</v>
      </c>
      <c r="H8" s="3" t="n">
        <v>-4.59</v>
      </c>
      <c r="I8" s="3" t="n">
        <v>3.1</v>
      </c>
      <c r="J8" s="3" t="n">
        <v>1.5</v>
      </c>
      <c r="K8" s="3" t="n">
        <v>-1.6</v>
      </c>
      <c r="L8" s="3" t="n">
        <v>1.71</v>
      </c>
      <c r="M8" s="5" t="n">
        <v>-1.3</v>
      </c>
      <c r="N8" s="3" t="n">
        <v>19.6</v>
      </c>
      <c r="O8" s="3" t="n">
        <v>17.04</v>
      </c>
      <c r="P8" s="3" t="n">
        <v>20.96</v>
      </c>
      <c r="Q8" s="3" t="n">
        <v>2846.61</v>
      </c>
      <c r="R8" s="3" t="n">
        <v>-3.29</v>
      </c>
      <c r="S8" s="3" t="n">
        <v>-10.35</v>
      </c>
      <c r="T8" s="3" t="n">
        <v>4.87</v>
      </c>
      <c r="U8" s="3" t="n">
        <v>3.9</v>
      </c>
      <c r="V8" s="3" t="n">
        <v>66.79000000000001</v>
      </c>
      <c r="W8" s="3" t="n">
        <v>35.83</v>
      </c>
      <c r="X8" s="3" t="n">
        <v>2.5</v>
      </c>
      <c r="Y8" s="3" t="n">
        <v>63.91</v>
      </c>
      <c r="Z8" s="3" t="n">
        <v>1.41</v>
      </c>
      <c r="AA8" s="3" t="n">
        <v>-4.31</v>
      </c>
      <c r="AB8" s="5" t="n">
        <v>1.42</v>
      </c>
      <c r="AC8" s="3" t="n">
        <v/>
      </c>
      <c r="AD8" s="3" t="n">
        <v>5.26</v>
      </c>
      <c r="AE8" s="3" t="n">
        <v>59.3</v>
      </c>
    </row>
    <row r="9">
      <c r="A9" s="6" t="n">
        <v>46100.54935185185</v>
      </c>
      <c r="B9" s="7" t="n">
        <v>84.68000000000001</v>
      </c>
      <c r="C9" s="7" t="n">
        <v>105.34</v>
      </c>
      <c r="D9" s="8" t="n">
        <v>1.24</v>
      </c>
      <c r="E9" s="7" t="n">
        <v>151.17</v>
      </c>
      <c r="F9" s="7" t="n">
        <v>178.31</v>
      </c>
      <c r="G9" s="7" t="n">
        <v/>
      </c>
      <c r="H9" s="7" t="n">
        <v/>
      </c>
      <c r="I9" s="7" t="n">
        <v>4.3</v>
      </c>
      <c r="J9" s="7" t="n">
        <v>-0.23</v>
      </c>
      <c r="K9" s="7" t="n">
        <v>-4.54</v>
      </c>
      <c r="L9" s="7" t="n">
        <v>0.46</v>
      </c>
      <c r="M9" s="9" t="n">
        <v>0.1</v>
      </c>
      <c r="N9" s="7" t="n">
        <v>19.02</v>
      </c>
      <c r="O9" s="7" t="n">
        <v>16.26</v>
      </c>
      <c r="P9" s="7" t="n">
        <v>19.37</v>
      </c>
      <c r="Q9" s="7" t="n">
        <v>2967.73</v>
      </c>
      <c r="R9" s="7" t="n">
        <v>-10.81</v>
      </c>
      <c r="S9" s="7" t="n">
        <v>-28.02</v>
      </c>
      <c r="T9" s="7" t="n">
        <v>-24.37</v>
      </c>
      <c r="U9" s="7" t="n">
        <v>-34.62</v>
      </c>
      <c r="V9" s="7" t="n">
        <v>53.85</v>
      </c>
      <c r="W9" s="7" t="n">
        <v>32.63</v>
      </c>
      <c r="X9" s="7" t="n">
        <v>4.31</v>
      </c>
      <c r="Y9" s="7" t="n">
        <v>66.95999999999999</v>
      </c>
      <c r="Z9" s="7" t="n">
        <v>1.49</v>
      </c>
      <c r="AA9" s="7" t="n">
        <v>-12.86</v>
      </c>
      <c r="AB9" s="9" t="n">
        <v>-0.16</v>
      </c>
      <c r="AC9" s="7" t="n">
        <v/>
      </c>
      <c r="AD9" s="7" t="n">
        <v>4.74</v>
      </c>
      <c r="AE9" s="7" t="n">
        <v/>
      </c>
    </row>
    <row r="10">
      <c r="A10" s="2" t="n">
        <v>46100.55116898148</v>
      </c>
      <c r="B10" s="3" t="n">
        <v>86.17</v>
      </c>
      <c r="C10" s="3" t="n">
        <v>115.23</v>
      </c>
      <c r="D10" s="4" t="n">
        <v>1.34</v>
      </c>
      <c r="E10" s="3" t="n">
        <v>171.49</v>
      </c>
      <c r="F10" s="3" t="n">
        <v>198.1</v>
      </c>
      <c r="G10" s="3" t="n">
        <v>2.95</v>
      </c>
      <c r="H10" s="3" t="n">
        <v>-6.03</v>
      </c>
      <c r="I10" s="3" t="n">
        <v>3.7</v>
      </c>
      <c r="J10" s="3" t="n">
        <v>-1.93</v>
      </c>
      <c r="K10" s="3" t="n">
        <v>-5.63</v>
      </c>
      <c r="L10" s="3" t="n">
        <v>-1.11</v>
      </c>
      <c r="M10" s="5" t="n">
        <v>-0.3</v>
      </c>
      <c r="N10" s="3" t="n">
        <v>17.57</v>
      </c>
      <c r="O10" s="3" t="n">
        <v>15.1</v>
      </c>
      <c r="P10" s="3" t="n">
        <v>18.91</v>
      </c>
      <c r="Q10" s="3" t="n">
        <v>2963.8</v>
      </c>
      <c r="R10" s="3" t="n">
        <v>-14.02</v>
      </c>
      <c r="S10" s="3" t="n">
        <v>-44.79</v>
      </c>
      <c r="T10" s="3" t="n">
        <v>-54.72</v>
      </c>
      <c r="U10" s="3" t="n">
        <v>-71.38</v>
      </c>
      <c r="V10" s="3" t="n">
        <v>60.46</v>
      </c>
      <c r="W10" s="3" t="n">
        <v>33.33</v>
      </c>
      <c r="X10" s="3" t="n">
        <v>3.51</v>
      </c>
      <c r="Y10" s="3" t="n">
        <v>63.84</v>
      </c>
      <c r="Z10" s="3" t="n">
        <v>1.39</v>
      </c>
      <c r="AA10" s="3" t="n">
        <v>-16.95</v>
      </c>
      <c r="AB10" s="5" t="n">
        <v>0.51</v>
      </c>
      <c r="AC10" s="3" t="n">
        <v/>
      </c>
      <c r="AD10" s="3" t="n">
        <v>5.11</v>
      </c>
      <c r="AE10" s="3" t="n">
        <v>59.85</v>
      </c>
    </row>
    <row r="11">
      <c r="A11" s="6" t="n">
        <v>46100.5514699074</v>
      </c>
      <c r="B11" s="7" t="n">
        <v>85.26000000000001</v>
      </c>
      <c r="C11" s="7" t="n">
        <v>120.35</v>
      </c>
      <c r="D11" s="8" t="n">
        <v>1.41</v>
      </c>
      <c r="E11" s="7" t="n">
        <v>178.04</v>
      </c>
      <c r="F11" s="7" t="n">
        <v>190.66</v>
      </c>
      <c r="G11" s="7" t="n">
        <v/>
      </c>
      <c r="H11" s="7" t="n">
        <v/>
      </c>
      <c r="I11" s="7" t="n">
        <v>-0.3</v>
      </c>
      <c r="J11" s="7" t="n">
        <v>-5.94</v>
      </c>
      <c r="K11" s="7" t="n">
        <v>-5.64</v>
      </c>
      <c r="L11" s="7" t="n">
        <v>-5</v>
      </c>
      <c r="M11" s="9" t="n">
        <v>-2.5</v>
      </c>
      <c r="N11" s="7" t="n">
        <v>18.93</v>
      </c>
      <c r="O11" s="7" t="n">
        <v>15.48</v>
      </c>
      <c r="P11" s="7" t="n">
        <v>22.19</v>
      </c>
      <c r="Q11" s="7" t="n">
        <v>4249</v>
      </c>
      <c r="R11" s="7" t="n">
        <v>-11.41</v>
      </c>
      <c r="S11" s="7" t="n">
        <v>-49.11</v>
      </c>
      <c r="T11" s="7" t="n">
        <v>-95.27</v>
      </c>
      <c r="U11" s="7" t="n">
        <v>-106.97</v>
      </c>
      <c r="V11" s="7" t="n">
        <v>79.93000000000001</v>
      </c>
      <c r="W11" s="7" t="n">
        <v>41.21</v>
      </c>
      <c r="X11" s="7" t="n">
        <v>-2.06</v>
      </c>
      <c r="Y11" s="7" t="n">
        <v>57.6</v>
      </c>
      <c r="Z11" s="7" t="n">
        <v>1.42</v>
      </c>
      <c r="AA11" s="7" t="n">
        <v>-13.93</v>
      </c>
      <c r="AB11" s="9" t="n">
        <v>2.99</v>
      </c>
      <c r="AC11" s="7" t="n">
        <v/>
      </c>
      <c r="AD11" s="7" t="n">
        <v>5.82</v>
      </c>
      <c r="AE11" s="7" t="n">
        <v/>
      </c>
    </row>
    <row r="12">
      <c r="A12" s="2" t="n">
        <v>46100.5496412037</v>
      </c>
      <c r="B12" s="3" t="n">
        <v>85.31999999999999</v>
      </c>
      <c r="C12" s="3" t="n">
        <v>107.4</v>
      </c>
      <c r="D12" s="4" t="n">
        <v>1.26</v>
      </c>
      <c r="E12" s="3" t="n">
        <v>157.44</v>
      </c>
      <c r="F12" s="3" t="n">
        <v>184.91</v>
      </c>
      <c r="G12" s="3" t="n">
        <v/>
      </c>
      <c r="H12" s="3" t="n">
        <v/>
      </c>
      <c r="I12" s="3" t="n">
        <v>3.7</v>
      </c>
      <c r="J12" s="3" t="n">
        <v>2.06</v>
      </c>
      <c r="K12" s="3" t="n">
        <v>-1.64</v>
      </c>
      <c r="L12" s="3" t="n">
        <v>2.29</v>
      </c>
      <c r="M12" s="5" t="n">
        <v>-0.9</v>
      </c>
      <c r="N12" s="3" t="n">
        <v>18.95</v>
      </c>
      <c r="O12" s="3" t="n">
        <v>16.37</v>
      </c>
      <c r="P12" s="3" t="n">
        <v>19.97</v>
      </c>
      <c r="Q12" s="3" t="n">
        <v>2761</v>
      </c>
      <c r="R12" s="3" t="n">
        <v>-4.28</v>
      </c>
      <c r="S12" s="3" t="n">
        <v>-11.42</v>
      </c>
      <c r="T12" s="3" t="n">
        <v>7.48</v>
      </c>
      <c r="U12" s="3" t="n">
        <v>6.48</v>
      </c>
      <c r="V12" s="3" t="n">
        <v>56.21</v>
      </c>
      <c r="W12" s="3" t="n">
        <v>32.77</v>
      </c>
      <c r="X12" s="3" t="n">
        <v>3.31</v>
      </c>
      <c r="Y12" s="3" t="n">
        <v>66.73</v>
      </c>
      <c r="Z12" s="3" t="n">
        <v>1.46</v>
      </c>
      <c r="AA12" s="3" t="n">
        <v>-4.59</v>
      </c>
      <c r="AB12" s="5" t="n">
        <v>1.02</v>
      </c>
      <c r="AC12" s="3" t="n">
        <v/>
      </c>
      <c r="AD12" s="3" t="n">
        <v>4.85</v>
      </c>
      <c r="AE12" s="3" t="n">
        <v/>
      </c>
    </row>
    <row r="13">
      <c r="A13" s="6" t="n">
        <v>46100.54993055556</v>
      </c>
      <c r="B13" s="7" t="n">
        <v>85.56</v>
      </c>
      <c r="C13" s="7" t="n">
        <v>117.69</v>
      </c>
      <c r="D13" s="8" t="n">
        <v>1.38</v>
      </c>
      <c r="E13" s="7" t="n">
        <v>172.35</v>
      </c>
      <c r="F13" s="7" t="n">
        <v>186.5</v>
      </c>
      <c r="G13" s="7" t="n">
        <v>-4.34</v>
      </c>
      <c r="H13" s="7" t="n">
        <v>-23.67</v>
      </c>
      <c r="I13" s="7" t="n">
        <v>1.3</v>
      </c>
      <c r="J13" s="7" t="n">
        <v>-4.75</v>
      </c>
      <c r="K13" s="7" t="n">
        <v>-6.05</v>
      </c>
      <c r="L13" s="7" t="n">
        <v>-3.68</v>
      </c>
      <c r="M13" s="9" t="n">
        <v>-2.9</v>
      </c>
      <c r="N13" s="7" t="n">
        <v>18.4</v>
      </c>
      <c r="O13" s="7" t="n">
        <v>14.87</v>
      </c>
      <c r="P13" s="7" t="n">
        <v>22.18</v>
      </c>
      <c r="Q13" s="7" t="n">
        <v>4291.49</v>
      </c>
      <c r="R13" s="7" t="n">
        <v>-8.19</v>
      </c>
      <c r="S13" s="7" t="n">
        <v>-33.16</v>
      </c>
      <c r="T13" s="7" t="n">
        <v>-66.23999999999999</v>
      </c>
      <c r="U13" s="7" t="n">
        <v>-75.48999999999999</v>
      </c>
      <c r="V13" s="7" t="n">
        <v>73.20999999999999</v>
      </c>
      <c r="W13" s="7" t="n">
        <v>39.71</v>
      </c>
      <c r="X13" s="7" t="n">
        <v>-0.31</v>
      </c>
      <c r="Y13" s="7" t="n">
        <v>60.75</v>
      </c>
      <c r="Z13" s="7" t="n">
        <v>1.38</v>
      </c>
      <c r="AA13" s="7" t="n">
        <v>-15.46</v>
      </c>
      <c r="AB13" s="9" t="n">
        <v>3.19</v>
      </c>
      <c r="AC13" s="7" t="n">
        <v/>
      </c>
      <c r="AD13" s="7" t="n">
        <v>5.62</v>
      </c>
      <c r="AE13" s="7" t="n">
        <v>56.3</v>
      </c>
    </row>
    <row r="14">
      <c r="A14" s="2" t="n">
        <v>46100.55246527777</v>
      </c>
      <c r="B14" s="3" t="n">
        <v>84.63</v>
      </c>
      <c r="C14" s="3" t="n">
        <v>114.23</v>
      </c>
      <c r="D14" s="4" t="n">
        <v>1.35</v>
      </c>
      <c r="E14" s="3" t="n">
        <v>171.23</v>
      </c>
      <c r="F14" s="3" t="n">
        <v>196.18</v>
      </c>
      <c r="G14" s="3" t="n">
        <v/>
      </c>
      <c r="H14" s="3" t="n">
        <v/>
      </c>
      <c r="I14" s="3" t="n">
        <v>3.1</v>
      </c>
      <c r="J14" s="3" t="n">
        <v>0.71</v>
      </c>
      <c r="K14" s="3" t="n">
        <v>-2.39</v>
      </c>
      <c r="L14" s="3" t="n">
        <v>1.07</v>
      </c>
      <c r="M14" s="5" t="n">
        <v>-0.5</v>
      </c>
      <c r="N14" s="3" t="n">
        <v>18.02</v>
      </c>
      <c r="O14" s="3" t="n">
        <v>15.41</v>
      </c>
      <c r="P14" s="3" t="n">
        <v>18.81</v>
      </c>
      <c r="Q14" s="3" t="n">
        <v>2981</v>
      </c>
      <c r="R14" s="3" t="n">
        <v>-6.6</v>
      </c>
      <c r="S14" s="3" t="n">
        <v>-21.38</v>
      </c>
      <c r="T14" s="3" t="n">
        <v>-11.78</v>
      </c>
      <c r="U14" s="3" t="n">
        <v>-17.15</v>
      </c>
      <c r="V14" s="3" t="n">
        <v>62.42</v>
      </c>
      <c r="W14" s="3" t="n">
        <v>34.29</v>
      </c>
      <c r="X14" s="3" t="n">
        <v>2.87</v>
      </c>
      <c r="Y14" s="3" t="n">
        <v>64.06999999999999</v>
      </c>
      <c r="Z14" s="3" t="n">
        <v>1.44</v>
      </c>
      <c r="AA14" s="3" t="n">
        <v>-7.31</v>
      </c>
      <c r="AB14" s="5" t="n">
        <v>0.71</v>
      </c>
      <c r="AC14" s="3" t="n">
        <v/>
      </c>
      <c r="AD14" s="3" t="n">
        <v>5.18</v>
      </c>
      <c r="AE14" s="3" t="n">
        <v/>
      </c>
    </row>
    <row r="15">
      <c r="A15" s="6" t="n">
        <v>46100.55946759259</v>
      </c>
      <c r="B15" s="7" t="n">
        <v>84.34</v>
      </c>
      <c r="C15" s="7" t="n">
        <v>116.79</v>
      </c>
      <c r="D15" s="8" t="n">
        <v>1.38</v>
      </c>
      <c r="E15" s="7" t="n">
        <v>177.89</v>
      </c>
      <c r="F15" s="7" t="n">
        <v>190.73</v>
      </c>
      <c r="G15" s="7" t="n">
        <v/>
      </c>
      <c r="H15" s="7" t="n">
        <v/>
      </c>
      <c r="I15" s="7" t="n">
        <v>4.7</v>
      </c>
      <c r="J15" s="7" t="n">
        <v>2.84</v>
      </c>
      <c r="K15" s="7" t="n">
        <v>-1.86</v>
      </c>
      <c r="L15" s="7" t="n">
        <v>3.13</v>
      </c>
      <c r="M15" s="9" t="n">
        <v>-0.7</v>
      </c>
      <c r="N15" s="7" t="n">
        <v>21.07</v>
      </c>
      <c r="O15" s="7" t="n">
        <v>18.04</v>
      </c>
      <c r="P15" s="7" t="n">
        <v>22.04</v>
      </c>
      <c r="Q15" s="7" t="n">
        <v>3523.69</v>
      </c>
      <c r="R15" s="7" t="n">
        <v>-4.58</v>
      </c>
      <c r="S15" s="7" t="n">
        <v>-18.24</v>
      </c>
      <c r="T15" s="7" t="n">
        <v>10.87</v>
      </c>
      <c r="U15" s="7" t="n">
        <v>9.890000000000001</v>
      </c>
      <c r="V15" s="7" t="n">
        <v>85.13</v>
      </c>
      <c r="W15" s="7" t="n">
        <v>41.98</v>
      </c>
      <c r="X15" s="7" t="n">
        <v>4.3</v>
      </c>
      <c r="Y15" s="7" t="n">
        <v>61.16</v>
      </c>
      <c r="Z15" s="7" t="n">
        <v>1.41</v>
      </c>
      <c r="AA15" s="7" t="n">
        <v>-4.86</v>
      </c>
      <c r="AB15" s="9" t="n">
        <v>0.98</v>
      </c>
      <c r="AC15" s="7" t="n">
        <v/>
      </c>
      <c r="AD15" s="7" t="n">
        <v>5.87</v>
      </c>
      <c r="AE15" s="7" t="n">
        <v/>
      </c>
    </row>
    <row r="16">
      <c r="A16" s="2" t="n">
        <v>46100.55030092593</v>
      </c>
      <c r="B16" s="3" t="n">
        <v>85.81</v>
      </c>
      <c r="C16" s="3" t="n">
        <v>110.79</v>
      </c>
      <c r="D16" s="4" t="n">
        <v>1.29</v>
      </c>
      <c r="E16" s="3" t="n">
        <v>166.14</v>
      </c>
      <c r="F16" s="3" t="n">
        <v>190.41</v>
      </c>
      <c r="G16" s="3" t="n">
        <v/>
      </c>
      <c r="H16" s="3" t="n">
        <v/>
      </c>
      <c r="I16" s="3" t="n">
        <v>2.7</v>
      </c>
      <c r="J16" s="3" t="n">
        <v>2.93</v>
      </c>
      <c r="K16" s="3" t="n">
        <v>0.23</v>
      </c>
      <c r="L16" s="3" t="n">
        <v>2.9</v>
      </c>
      <c r="M16" s="5" t="n">
        <v>-0.3</v>
      </c>
      <c r="N16" s="3" t="n">
        <v>19.24</v>
      </c>
      <c r="O16" s="3" t="n">
        <v>16.65</v>
      </c>
      <c r="P16" s="3" t="n">
        <v>19.62</v>
      </c>
      <c r="Q16" s="3" t="n">
        <v>2849</v>
      </c>
      <c r="R16" s="3" t="n">
        <v>0.1</v>
      </c>
      <c r="S16" s="3" t="n">
        <v>0.31</v>
      </c>
      <c r="T16" s="3" t="n">
        <v>25.52</v>
      </c>
      <c r="U16" s="3" t="n">
        <v>29.3</v>
      </c>
      <c r="V16" s="3" t="n">
        <v>63.13</v>
      </c>
      <c r="W16" s="3" t="n">
        <v>34.83</v>
      </c>
      <c r="X16" s="3" t="n">
        <v>2.5</v>
      </c>
      <c r="Y16" s="3" t="n">
        <v>63.25</v>
      </c>
      <c r="Z16" s="3" t="n">
        <v>1.42</v>
      </c>
      <c r="AA16" s="3" t="n">
        <v>0.7</v>
      </c>
      <c r="AB16" s="5" t="n">
        <v>0.39</v>
      </c>
      <c r="AC16" s="3" t="n">
        <v/>
      </c>
      <c r="AD16" s="3" t="n">
        <v>5.13</v>
      </c>
      <c r="AE16" s="3" t="n">
        <v/>
      </c>
    </row>
    <row r="17">
      <c r="A17" s="6" t="n">
        <v>46100.55059027778</v>
      </c>
      <c r="B17" s="7" t="n">
        <v>84.59</v>
      </c>
      <c r="C17" s="7" t="n">
        <v>114.25</v>
      </c>
      <c r="D17" s="8" t="n">
        <v>1.35</v>
      </c>
      <c r="E17" s="7" t="n">
        <v>170.38</v>
      </c>
      <c r="F17" s="7" t="n">
        <v>193.93</v>
      </c>
      <c r="G17" s="7" t="n">
        <v/>
      </c>
      <c r="H17" s="7" t="n">
        <v/>
      </c>
      <c r="I17" s="7" t="n">
        <v>5.5</v>
      </c>
      <c r="J17" s="7" t="n">
        <v>1.73</v>
      </c>
      <c r="K17" s="7" t="n">
        <v>-3.77</v>
      </c>
      <c r="L17" s="7" t="n">
        <v>2.23</v>
      </c>
      <c r="M17" s="9" t="n">
        <v>-3.7</v>
      </c>
      <c r="N17" s="7" t="n">
        <v>18.07</v>
      </c>
      <c r="O17" s="7" t="n">
        <v>15.33</v>
      </c>
      <c r="P17" s="7" t="n">
        <v>22.11</v>
      </c>
      <c r="Q17" s="7" t="n">
        <v>3153.78</v>
      </c>
      <c r="R17" s="7" t="n">
        <v>-8.42</v>
      </c>
      <c r="S17" s="7" t="n">
        <v>-28.01</v>
      </c>
      <c r="T17" s="7" t="n">
        <v>-8.16</v>
      </c>
      <c r="U17" s="7" t="n">
        <v>-13.91</v>
      </c>
      <c r="V17" s="7" t="n">
        <v>63.28</v>
      </c>
      <c r="W17" s="7" t="n">
        <v>34.93</v>
      </c>
      <c r="X17" s="7" t="n">
        <v>3.41</v>
      </c>
      <c r="Y17" s="7" t="n">
        <v>61.07</v>
      </c>
      <c r="Z17" s="7" t="n">
        <v>1.45</v>
      </c>
      <c r="AA17" s="7" t="n">
        <v>-9.470000000000001</v>
      </c>
      <c r="AB17" s="9" t="n">
        <v>4.21</v>
      </c>
      <c r="AC17" s="7" t="n">
        <v/>
      </c>
      <c r="AD17" s="7" t="n">
        <v>5.22</v>
      </c>
      <c r="AE17" s="7" t="n">
        <v/>
      </c>
    </row>
    <row r="18">
      <c r="A18" s="2" t="n">
        <v>46100.55196759259</v>
      </c>
      <c r="B18" s="3" t="n">
        <v>85.59</v>
      </c>
      <c r="C18" s="3" t="n">
        <v>110.53</v>
      </c>
      <c r="D18" s="4" t="n">
        <v>1.29</v>
      </c>
      <c r="E18" s="3" t="n">
        <v>163.89</v>
      </c>
      <c r="F18" s="3" t="n">
        <v>182.95</v>
      </c>
      <c r="G18" s="3" t="n">
        <v/>
      </c>
      <c r="H18" s="3" t="n">
        <v/>
      </c>
      <c r="I18" s="3" t="n">
        <v>2.9</v>
      </c>
      <c r="J18" s="3" t="n">
        <v>1.61</v>
      </c>
      <c r="K18" s="3" t="n">
        <v>-1.29</v>
      </c>
      <c r="L18" s="3" t="n">
        <v>1.81</v>
      </c>
      <c r="M18" s="5" t="n">
        <v>0.1</v>
      </c>
      <c r="N18" s="3" t="n">
        <v>19.91</v>
      </c>
      <c r="O18" s="3" t="n">
        <v>16.84</v>
      </c>
      <c r="P18" s="3" t="n">
        <v>19.91</v>
      </c>
      <c r="Q18" s="3" t="n">
        <v>3381</v>
      </c>
      <c r="R18" s="3" t="n">
        <v>-3.08</v>
      </c>
      <c r="S18" s="3" t="n">
        <v>-10.17</v>
      </c>
      <c r="T18" s="3" t="n">
        <v>5.32</v>
      </c>
      <c r="U18" s="3" t="n">
        <v>4.49</v>
      </c>
      <c r="V18" s="3" t="n">
        <v>67.73</v>
      </c>
      <c r="W18" s="3" t="n">
        <v>37.5</v>
      </c>
      <c r="X18" s="3" t="n">
        <v>2.83</v>
      </c>
      <c r="Y18" s="3" t="n">
        <v>65.23</v>
      </c>
      <c r="Z18" s="3" t="n">
        <v>1.49</v>
      </c>
      <c r="AA18" s="3" t="n">
        <v>-3.32</v>
      </c>
      <c r="AB18" s="5" t="n">
        <v>-0.04</v>
      </c>
      <c r="AC18" s="3" t="n">
        <v/>
      </c>
      <c r="AD18" s="3" t="n">
        <v>5.3</v>
      </c>
      <c r="AE18" s="3" t="n">
        <v/>
      </c>
    </row>
    <row r="19">
      <c r="A19" s="6" t="n">
        <v>46100.55664351852</v>
      </c>
      <c r="B19" s="7" t="n">
        <v>85.52</v>
      </c>
      <c r="C19" s="7" t="n">
        <v>116.16</v>
      </c>
      <c r="D19" s="8" t="n">
        <v>1.36</v>
      </c>
      <c r="E19" s="7" t="n">
        <v>175.56</v>
      </c>
      <c r="F19" s="7" t="n">
        <v>193.6</v>
      </c>
      <c r="G19" s="7" t="n">
        <v/>
      </c>
      <c r="H19" s="7" t="n">
        <v/>
      </c>
      <c r="I19" s="7" t="n">
        <v>1.1</v>
      </c>
      <c r="J19" s="7" t="n">
        <v>0.21</v>
      </c>
      <c r="K19" s="7" t="n">
        <v>-0.89</v>
      </c>
      <c r="L19" s="7" t="n">
        <v>0.35</v>
      </c>
      <c r="M19" s="9" t="n">
        <v>-1.1</v>
      </c>
      <c r="N19" s="7" t="n">
        <v>19.01</v>
      </c>
      <c r="O19" s="7" t="n">
        <v>16.08</v>
      </c>
      <c r="P19" s="7" t="n">
        <v>20.18</v>
      </c>
      <c r="Q19" s="7" t="n">
        <v>3385.2</v>
      </c>
      <c r="R19" s="7" t="n">
        <v>-1.93</v>
      </c>
      <c r="S19" s="7" t="n">
        <v>-7.18</v>
      </c>
      <c r="T19" s="7" t="n">
        <v>-3.92</v>
      </c>
      <c r="U19" s="7" t="n">
        <v>-5.24</v>
      </c>
      <c r="V19" s="7" t="n">
        <v>72.73</v>
      </c>
      <c r="W19" s="7" t="n">
        <v>38.21</v>
      </c>
      <c r="X19" s="7" t="n">
        <v>0.5</v>
      </c>
      <c r="Y19" s="7" t="n">
        <v>61.52</v>
      </c>
      <c r="Z19" s="7" t="n">
        <v>1.46</v>
      </c>
      <c r="AA19" s="7" t="n">
        <v>-2.51</v>
      </c>
      <c r="AB19" s="9" t="n">
        <v>1.3</v>
      </c>
      <c r="AC19" s="7" t="n">
        <v/>
      </c>
      <c r="AD19" s="7" t="n">
        <v>5.55</v>
      </c>
      <c r="AE19" s="7" t="n">
        <v/>
      </c>
    </row>
    <row r="20">
      <c r="A20" s="2" t="n">
        <v>46100.55172453704</v>
      </c>
      <c r="B20" s="3" t="n">
        <v>85.48</v>
      </c>
      <c r="C20" s="3" t="n">
        <v>114.5</v>
      </c>
      <c r="D20" s="4" t="n">
        <v>1.34</v>
      </c>
      <c r="E20" s="3" t="n">
        <v>166.75</v>
      </c>
      <c r="F20" s="3" t="n">
        <v>192.99</v>
      </c>
      <c r="G20" s="3" t="n">
        <v/>
      </c>
      <c r="H20" s="3" t="n">
        <v/>
      </c>
      <c r="I20" s="3" t="n">
        <v>4.7</v>
      </c>
      <c r="J20" s="3" t="n">
        <v>-4.01</v>
      </c>
      <c r="K20" s="3" t="n">
        <v>-8.710000000000001</v>
      </c>
      <c r="L20" s="3" t="n">
        <v>-2.7</v>
      </c>
      <c r="M20" s="5" t="n">
        <v>0.1</v>
      </c>
      <c r="N20" s="3" t="n">
        <v>17.76</v>
      </c>
      <c r="O20" s="3" t="n">
        <v>15.24</v>
      </c>
      <c r="P20" s="3" t="n">
        <v>19.66</v>
      </c>
      <c r="Q20" s="3" t="n">
        <v>3194.62</v>
      </c>
      <c r="R20" s="3" t="n">
        <v>-21.75</v>
      </c>
      <c r="S20" s="3" t="n">
        <v>-68.58</v>
      </c>
      <c r="T20" s="3" t="n">
        <v>-91.84</v>
      </c>
      <c r="U20" s="3" t="n">
        <v>-119.12</v>
      </c>
      <c r="V20" s="3" t="n">
        <v>59.45</v>
      </c>
      <c r="W20" s="3" t="n">
        <v>33.4</v>
      </c>
      <c r="X20" s="3" t="n">
        <v>4.7</v>
      </c>
      <c r="Y20" s="3" t="n">
        <v>65.79000000000001</v>
      </c>
      <c r="Z20" s="3" t="n">
        <v>1.41</v>
      </c>
      <c r="AA20" s="3" t="n">
        <v>-25.28</v>
      </c>
      <c r="AB20" s="5" t="n">
        <v>-0.04</v>
      </c>
      <c r="AC20" s="3" t="n">
        <v/>
      </c>
      <c r="AD20" s="3" t="n">
        <v>5.03</v>
      </c>
      <c r="AE20" s="3" t="n">
        <v/>
      </c>
    </row>
    <row r="21">
      <c r="A21" s="6" t="n">
        <v>46100.55628472222</v>
      </c>
      <c r="B21" s="7" t="n">
        <v>82.37</v>
      </c>
      <c r="C21" s="7" t="n">
        <v>106.72</v>
      </c>
      <c r="D21" s="8" t="n">
        <v>1.3</v>
      </c>
      <c r="E21" s="7" t="n">
        <v>152.57</v>
      </c>
      <c r="F21" s="7" t="n">
        <v>179.32</v>
      </c>
      <c r="G21" s="7" t="n">
        <v/>
      </c>
      <c r="H21" s="7" t="n">
        <v/>
      </c>
      <c r="I21" s="7" t="n">
        <v>3.9</v>
      </c>
      <c r="J21" s="7" t="n">
        <v>-0.89</v>
      </c>
      <c r="K21" s="7" t="n">
        <v>-4.79</v>
      </c>
      <c r="L21" s="7" t="n">
        <v>-0.09</v>
      </c>
      <c r="M21" s="9" t="n">
        <v>0.1</v>
      </c>
      <c r="N21" s="7" t="n">
        <v>18.5</v>
      </c>
      <c r="O21" s="7" t="n">
        <v>15.63</v>
      </c>
      <c r="P21" s="7" t="n">
        <v>19.11</v>
      </c>
      <c r="Q21" s="7" t="n">
        <v>3152.8</v>
      </c>
      <c r="R21" s="7" t="n">
        <v>-12.31</v>
      </c>
      <c r="S21" s="7" t="n">
        <v>-33.44</v>
      </c>
      <c r="T21" s="7" t="n">
        <v>-34.15</v>
      </c>
      <c r="U21" s="7" t="n">
        <v>-47.05</v>
      </c>
      <c r="V21" s="7" t="n">
        <v>53.73</v>
      </c>
      <c r="W21" s="7" t="n">
        <v>32.66</v>
      </c>
      <c r="X21" s="7" t="n">
        <v>3.96</v>
      </c>
      <c r="Y21" s="7" t="n">
        <v>64.16</v>
      </c>
      <c r="Z21" s="7" t="n">
        <v>1.47</v>
      </c>
      <c r="AA21" s="7" t="n">
        <v>-14.15</v>
      </c>
      <c r="AB21" s="9" t="n">
        <v>0</v>
      </c>
      <c r="AC21" s="7" t="n">
        <v/>
      </c>
      <c r="AD21" s="7" t="n">
        <v>4.77</v>
      </c>
      <c r="AE21" s="7" t="n">
        <v/>
      </c>
    </row>
    <row r="22">
      <c r="A22" s="2" t="n">
        <v>46100.55221064815</v>
      </c>
      <c r="B22" s="3" t="n">
        <v>85.54000000000001</v>
      </c>
      <c r="C22" s="3" t="n">
        <v>117.37</v>
      </c>
      <c r="D22" s="4" t="n">
        <v>1.37</v>
      </c>
      <c r="E22" s="3" t="n">
        <v>176.7</v>
      </c>
      <c r="F22" s="3" t="n">
        <v>192.87</v>
      </c>
      <c r="G22" s="3" t="n">
        <v/>
      </c>
      <c r="H22" s="3" t="n">
        <v/>
      </c>
      <c r="I22" s="3" t="n">
        <v>0.9</v>
      </c>
      <c r="J22" s="3" t="n">
        <v>0.82</v>
      </c>
      <c r="K22" s="3" t="n">
        <v>-0.08</v>
      </c>
      <c r="L22" s="3" t="n">
        <v>0.85</v>
      </c>
      <c r="M22" s="5" t="n">
        <v>-1.7</v>
      </c>
      <c r="N22" s="3" t="n">
        <v>18.89</v>
      </c>
      <c r="O22" s="3" t="n">
        <v>15.79</v>
      </c>
      <c r="P22" s="3" t="n">
        <v>20.72</v>
      </c>
      <c r="Q22" s="3" t="n">
        <v>3617.3</v>
      </c>
      <c r="R22" s="3" t="n">
        <v>-0.24</v>
      </c>
      <c r="S22" s="3" t="n">
        <v>-0.95</v>
      </c>
      <c r="T22" s="3" t="n">
        <v>6.88</v>
      </c>
      <c r="U22" s="3" t="n">
        <v>7.39</v>
      </c>
      <c r="V22" s="3" t="n">
        <v>74.84999999999999</v>
      </c>
      <c r="W22" s="3" t="n">
        <v>39.14</v>
      </c>
      <c r="X22" s="3" t="n">
        <v>-0.12</v>
      </c>
      <c r="Y22" s="3" t="n">
        <v>59.34</v>
      </c>
      <c r="Z22" s="3" t="n">
        <v>1.42</v>
      </c>
      <c r="AA22" s="3" t="n">
        <v>-0.36</v>
      </c>
      <c r="AB22" s="5" t="n">
        <v>2.05</v>
      </c>
      <c r="AC22" s="3" t="n">
        <v/>
      </c>
      <c r="AD22" s="3" t="n">
        <v>5.64</v>
      </c>
      <c r="AE22" s="3" t="n">
        <v/>
      </c>
    </row>
    <row r="23">
      <c r="A23" s="6" t="n">
        <v>46100.55356481481</v>
      </c>
      <c r="B23" s="7" t="n">
        <v>85.43000000000001</v>
      </c>
      <c r="C23" s="7" t="n">
        <v>114.96</v>
      </c>
      <c r="D23" s="8" t="n">
        <v>1.35</v>
      </c>
      <c r="E23" s="7" t="n">
        <v>173.48</v>
      </c>
      <c r="F23" s="7" t="n">
        <v>194.1</v>
      </c>
      <c r="G23" s="7" t="n">
        <v/>
      </c>
      <c r="H23" s="7" t="n">
        <v/>
      </c>
      <c r="I23" s="7" t="n">
        <v>1.9</v>
      </c>
      <c r="J23" s="7" t="n">
        <v>-2.98</v>
      </c>
      <c r="K23" s="7" t="n">
        <v>-4.88</v>
      </c>
      <c r="L23" s="7" t="n">
        <v>-2.32</v>
      </c>
      <c r="M23" s="9" t="n">
        <v>-1.5</v>
      </c>
      <c r="N23" s="7" t="n">
        <v>19.16</v>
      </c>
      <c r="O23" s="7" t="n">
        <v>16.46</v>
      </c>
      <c r="P23" s="7" t="n">
        <v>21.32</v>
      </c>
      <c r="Q23" s="7" t="n">
        <v>3159</v>
      </c>
      <c r="R23" s="7" t="n">
        <v>-10.84</v>
      </c>
      <c r="S23" s="7" t="n">
        <v>-37.68</v>
      </c>
      <c r="T23" s="7" t="n">
        <v>-58.68</v>
      </c>
      <c r="U23" s="7" t="n">
        <v>-71.03</v>
      </c>
      <c r="V23" s="7" t="n">
        <v>69.81</v>
      </c>
      <c r="W23" s="7" t="n">
        <v>36.93</v>
      </c>
      <c r="X23" s="7" t="n">
        <v>0.9</v>
      </c>
      <c r="Y23" s="7" t="n">
        <v>61.15</v>
      </c>
      <c r="Z23" s="7" t="n">
        <v>1.45</v>
      </c>
      <c r="AA23" s="7" t="n">
        <v>-12.52</v>
      </c>
      <c r="AB23" s="9" t="n">
        <v>1.85</v>
      </c>
      <c r="AC23" s="7" t="n">
        <v/>
      </c>
      <c r="AD23" s="7" t="n">
        <v>5.41</v>
      </c>
      <c r="AE23" s="7" t="n">
        <v/>
      </c>
    </row>
    <row r="24">
      <c r="A24" s="2" t="n">
        <v>46100.55986111111</v>
      </c>
      <c r="B24" s="3" t="n">
        <v>85.68000000000001</v>
      </c>
      <c r="C24" s="3" t="n">
        <v>119.39</v>
      </c>
      <c r="D24" s="4" t="n">
        <v>1.39</v>
      </c>
      <c r="E24" s="3" t="n">
        <v>176.16</v>
      </c>
      <c r="F24" s="3" t="n">
        <v>190.08</v>
      </c>
      <c r="G24" s="3" t="n">
        <v/>
      </c>
      <c r="H24" s="3" t="n">
        <v/>
      </c>
      <c r="I24" s="3" t="n">
        <v>4.7</v>
      </c>
      <c r="J24" s="3" t="n">
        <v>-1.71</v>
      </c>
      <c r="K24" s="3" t="n">
        <v>-6.41</v>
      </c>
      <c r="L24" s="3" t="n">
        <v>-0.52</v>
      </c>
      <c r="M24" s="5" t="n">
        <v>0.3</v>
      </c>
      <c r="N24" s="3" t="n">
        <v>19.03</v>
      </c>
      <c r="O24" s="3" t="n">
        <v>15.74</v>
      </c>
      <c r="P24" s="3" t="n">
        <v>19.71</v>
      </c>
      <c r="Q24" s="3" t="n">
        <v>4129</v>
      </c>
      <c r="R24" s="3" t="n">
        <v>-15.34</v>
      </c>
      <c r="S24" s="3" t="n">
        <v>-63.54</v>
      </c>
      <c r="T24" s="3" t="n">
        <v>-68.29000000000001</v>
      </c>
      <c r="U24" s="3" t="n">
        <v>-80.64</v>
      </c>
      <c r="V24" s="3" t="n">
        <v>77.64</v>
      </c>
      <c r="W24" s="3" t="n">
        <v>40.36</v>
      </c>
      <c r="X24" s="3" t="n">
        <v>4.85</v>
      </c>
      <c r="Y24" s="3" t="n">
        <v>60.89</v>
      </c>
      <c r="Z24" s="3" t="n">
        <v>1.42</v>
      </c>
      <c r="AA24" s="3" t="n">
        <v>-18.14</v>
      </c>
      <c r="AB24" s="5" t="n">
        <v>-0.39</v>
      </c>
      <c r="AC24" s="3" t="n">
        <v/>
      </c>
      <c r="AD24" s="3" t="n">
        <v>5.72</v>
      </c>
      <c r="AE24" s="3" t="n">
        <v/>
      </c>
    </row>
    <row r="25">
      <c r="A25" s="6" t="n">
        <v>46100.56</v>
      </c>
      <c r="B25" s="7" t="n">
        <v>85.40000000000001</v>
      </c>
      <c r="C25" s="7" t="n">
        <v>120.11</v>
      </c>
      <c r="D25" s="8" t="n">
        <v>1.41</v>
      </c>
      <c r="E25" s="7" t="n">
        <v>180.76</v>
      </c>
      <c r="F25" s="7" t="n">
        <v>192.7</v>
      </c>
      <c r="G25" s="7" t="n">
        <v>-4.19</v>
      </c>
      <c r="H25" s="7" t="n">
        <v>-7.75</v>
      </c>
      <c r="I25" s="7" t="n">
        <v>2.5</v>
      </c>
      <c r="J25" s="7" t="n">
        <v>0.62</v>
      </c>
      <c r="K25" s="7" t="n">
        <v>-1.88</v>
      </c>
      <c r="L25" s="7" t="n">
        <v>0.93</v>
      </c>
      <c r="M25" s="9" t="n">
        <v>-0.9</v>
      </c>
      <c r="N25" s="7" t="n">
        <v>19.57</v>
      </c>
      <c r="O25" s="7" t="n">
        <v>16.25</v>
      </c>
      <c r="P25" s="7" t="n">
        <v>20.69</v>
      </c>
      <c r="Q25" s="7" t="n">
        <v>3971.81</v>
      </c>
      <c r="R25" s="7" t="n">
        <v>-2.4</v>
      </c>
      <c r="S25" s="7" t="n">
        <v>-10.38</v>
      </c>
      <c r="T25" s="7" t="n">
        <v>-1.57</v>
      </c>
      <c r="U25" s="7" t="n">
        <v>-2.65</v>
      </c>
      <c r="V25" s="7" t="n">
        <v>84.17</v>
      </c>
      <c r="W25" s="7" t="n">
        <v>42.08</v>
      </c>
      <c r="X25" s="7" t="n">
        <v>1.81</v>
      </c>
      <c r="Y25" s="7" t="n">
        <v>60.03</v>
      </c>
      <c r="Z25" s="7" t="n">
        <v>1.46</v>
      </c>
      <c r="AA25" s="7" t="n">
        <v>-4.77</v>
      </c>
      <c r="AB25" s="9" t="n">
        <v>1.22</v>
      </c>
      <c r="AC25" s="7" t="n">
        <v/>
      </c>
      <c r="AD25" s="7" t="n">
        <v>5.93</v>
      </c>
      <c r="AE25" s="7" t="n">
        <v>57.32</v>
      </c>
    </row>
    <row r="26">
      <c r="A26" s="2" t="n">
        <v>46100.55390046296</v>
      </c>
      <c r="B26" s="3" t="n">
        <v>83.44</v>
      </c>
      <c r="C26" s="3" t="n">
        <v>116.89</v>
      </c>
      <c r="D26" s="4" t="n">
        <v>1.4</v>
      </c>
      <c r="E26" s="3" t="n">
        <v>173.92</v>
      </c>
      <c r="F26" s="3" t="n">
        <v>197.68</v>
      </c>
      <c r="G26" s="3" t="n">
        <v/>
      </c>
      <c r="H26" s="3" t="n">
        <v/>
      </c>
      <c r="I26" s="3" t="n">
        <v>2.7</v>
      </c>
      <c r="J26" s="3" t="n">
        <v>-3.7</v>
      </c>
      <c r="K26" s="3" t="n">
        <v>-6.4</v>
      </c>
      <c r="L26" s="3" t="n">
        <v>-2.73</v>
      </c>
      <c r="M26" s="5" t="n">
        <v>-1.1</v>
      </c>
      <c r="N26" s="3" t="n">
        <v>17.47</v>
      </c>
      <c r="O26" s="3" t="n">
        <v>14.83</v>
      </c>
      <c r="P26" s="3" t="n">
        <v>19.79</v>
      </c>
      <c r="Q26" s="3" t="n">
        <v>3251.32</v>
      </c>
      <c r="R26" s="3" t="n">
        <v>-14.31</v>
      </c>
      <c r="S26" s="3" t="n">
        <v>-49.78</v>
      </c>
      <c r="T26" s="3" t="n">
        <v>-74.5</v>
      </c>
      <c r="U26" s="3" t="n">
        <v>-92.81</v>
      </c>
      <c r="V26" s="3" t="n">
        <v>63.74</v>
      </c>
      <c r="W26" s="3" t="n">
        <v>34.8</v>
      </c>
      <c r="X26" s="3" t="n">
        <v>2.12</v>
      </c>
      <c r="Y26" s="3" t="n">
        <v>63.18</v>
      </c>
      <c r="Z26" s="3" t="n">
        <v>1.51</v>
      </c>
      <c r="AA26" s="3" t="n">
        <v>-18.47</v>
      </c>
      <c r="AB26" s="5" t="n">
        <v>1.46</v>
      </c>
      <c r="AC26" s="3" t="n">
        <v/>
      </c>
      <c r="AD26" s="3" t="n">
        <v>5.26</v>
      </c>
      <c r="AE26" s="3" t="n">
        <v/>
      </c>
    </row>
    <row r="27">
      <c r="A27" s="6" t="n">
        <v>46100.55960648148</v>
      </c>
      <c r="B27" s="7" t="n">
        <v>84.79000000000001</v>
      </c>
      <c r="C27" s="7" t="n">
        <v>115.65</v>
      </c>
      <c r="D27" s="8" t="n">
        <v>1.36</v>
      </c>
      <c r="E27" s="7" t="n">
        <v>177.49</v>
      </c>
      <c r="F27" s="7" t="n">
        <v>207.21</v>
      </c>
      <c r="G27" s="7" t="n">
        <v/>
      </c>
      <c r="H27" s="7" t="n">
        <v/>
      </c>
      <c r="I27" s="7" t="n">
        <v>4.7</v>
      </c>
      <c r="J27" s="7" t="n">
        <v>1.72</v>
      </c>
      <c r="K27" s="7" t="n">
        <v>-2.98</v>
      </c>
      <c r="L27" s="7" t="n">
        <v>2.03</v>
      </c>
      <c r="M27" s="9" t="n">
        <v>-0.7</v>
      </c>
      <c r="N27" s="7" t="n">
        <v>18.69</v>
      </c>
      <c r="O27" s="7" t="n">
        <v>16.77</v>
      </c>
      <c r="P27" s="7" t="n">
        <v>19.75</v>
      </c>
      <c r="Q27" s="7" t="n">
        <v>2227.64</v>
      </c>
      <c r="R27" s="7" t="n">
        <v>-7.66</v>
      </c>
      <c r="S27" s="7" t="n">
        <v>-21.41</v>
      </c>
      <c r="T27" s="7" t="n">
        <v>-2.51</v>
      </c>
      <c r="U27" s="7" t="n">
        <v>-6.93</v>
      </c>
      <c r="V27" s="7" t="n">
        <v>63.13</v>
      </c>
      <c r="W27" s="7" t="n">
        <v>32.44</v>
      </c>
      <c r="X27" s="7" t="n">
        <v>4.28</v>
      </c>
      <c r="Y27" s="7" t="n">
        <v>61.41</v>
      </c>
      <c r="Z27" s="7" t="n">
        <v>1.41</v>
      </c>
      <c r="AA27" s="7" t="n">
        <v>-8.49</v>
      </c>
      <c r="AB27" s="9" t="n">
        <v>0.91</v>
      </c>
      <c r="AC27" s="7" t="n">
        <v/>
      </c>
      <c r="AD27" s="7" t="n">
        <v>5.08</v>
      </c>
      <c r="AE27" s="7" t="n">
        <v/>
      </c>
    </row>
    <row r="28">
      <c r="A28" s="2" t="n">
        <v>46100.5597337963</v>
      </c>
      <c r="B28" s="3" t="n">
        <v>84.98</v>
      </c>
      <c r="C28" s="3" t="n">
        <v>114.53</v>
      </c>
      <c r="D28" s="4" t="n">
        <v>1.35</v>
      </c>
      <c r="E28" s="3" t="n">
        <v>173.53</v>
      </c>
      <c r="F28" s="3" t="n">
        <v>196.31</v>
      </c>
      <c r="G28" s="3" t="n">
        <v/>
      </c>
      <c r="H28" s="3" t="n">
        <v/>
      </c>
      <c r="I28" s="3" t="n">
        <v>3.5</v>
      </c>
      <c r="J28" s="3" t="n">
        <v>0.33</v>
      </c>
      <c r="K28" s="3" t="n">
        <v>-3.17</v>
      </c>
      <c r="L28" s="3" t="n">
        <v>0.76</v>
      </c>
      <c r="M28" s="5" t="n">
        <v>-1.1</v>
      </c>
      <c r="N28" s="3" t="n">
        <v>18.89</v>
      </c>
      <c r="O28" s="3" t="n">
        <v>16.32</v>
      </c>
      <c r="P28" s="3" t="n">
        <v>20.26</v>
      </c>
      <c r="Q28" s="3" t="n">
        <v>2956.73</v>
      </c>
      <c r="R28" s="3" t="n">
        <v>-7.81</v>
      </c>
      <c r="S28" s="3" t="n">
        <v>-26.02</v>
      </c>
      <c r="T28" s="3" t="n">
        <v>-19.13</v>
      </c>
      <c r="U28" s="3" t="n">
        <v>-25.66</v>
      </c>
      <c r="V28" s="3" t="n">
        <v>67.20999999999999</v>
      </c>
      <c r="W28" s="3" t="n">
        <v>35.77</v>
      </c>
      <c r="X28" s="3" t="n">
        <v>2.88</v>
      </c>
      <c r="Y28" s="3" t="n">
        <v>62.33</v>
      </c>
      <c r="Z28" s="3" t="n">
        <v>1.45</v>
      </c>
      <c r="AA28" s="3" t="n">
        <v>-8.609999999999999</v>
      </c>
      <c r="AB28" s="5" t="n">
        <v>1.26</v>
      </c>
      <c r="AC28" s="3" t="n">
        <v/>
      </c>
      <c r="AD28" s="3" t="n">
        <v>5.32</v>
      </c>
      <c r="AE28" s="3" t="n">
        <v/>
      </c>
    </row>
    <row r="29">
      <c r="A29" s="6" t="n">
        <v>46100.55414351852</v>
      </c>
      <c r="B29" s="7" t="n">
        <v>84.90000000000001</v>
      </c>
      <c r="C29" s="7" t="n">
        <v>104.65</v>
      </c>
      <c r="D29" s="8" t="n">
        <v>1.23</v>
      </c>
      <c r="E29" s="7" t="n">
        <v>150.57</v>
      </c>
      <c r="F29" s="7" t="n">
        <v>178.6</v>
      </c>
      <c r="G29" s="7" t="n">
        <v>-0.47</v>
      </c>
      <c r="H29" s="7" t="n">
        <v>-1.15</v>
      </c>
      <c r="I29" s="7" t="n">
        <v>1.4</v>
      </c>
      <c r="J29" s="7" t="n">
        <v>4.88</v>
      </c>
      <c r="K29" s="7" t="n">
        <v>3.48</v>
      </c>
      <c r="L29" s="7" t="n">
        <v>4.34</v>
      </c>
      <c r="M29" s="9" t="n">
        <v>1.4</v>
      </c>
      <c r="N29" s="7" t="n">
        <v>19.19</v>
      </c>
      <c r="O29" s="7" t="n">
        <v>16.55</v>
      </c>
      <c r="P29" s="7" t="n">
        <v>18.04</v>
      </c>
      <c r="Q29" s="7" t="n">
        <v>2799</v>
      </c>
      <c r="R29" s="7" t="n">
        <v>9.34</v>
      </c>
      <c r="S29" s="7" t="n">
        <v>23.22</v>
      </c>
      <c r="T29" s="7" t="n">
        <v>57.3</v>
      </c>
      <c r="U29" s="7" t="n">
        <v>72.92</v>
      </c>
      <c r="V29" s="7" t="n">
        <v>53.26</v>
      </c>
      <c r="W29" s="7" t="n">
        <v>32.22</v>
      </c>
      <c r="X29" s="7" t="n">
        <v>1.92</v>
      </c>
      <c r="Y29" s="7" t="n">
        <v>62.69</v>
      </c>
      <c r="Z29" s="7" t="n">
        <v>1.21</v>
      </c>
      <c r="AA29" s="7" t="n">
        <v>10.39</v>
      </c>
      <c r="AB29" s="9" t="n">
        <v>-2.24</v>
      </c>
      <c r="AC29" s="7" t="n">
        <v/>
      </c>
      <c r="AD29" s="7" t="n">
        <v>4.69</v>
      </c>
      <c r="AE29" s="7" t="n">
        <v>56.76</v>
      </c>
    </row>
    <row r="30">
      <c r="A30" s="2" t="n">
        <v>46100.55646990741</v>
      </c>
      <c r="B30" s="3" t="n">
        <v>85.2</v>
      </c>
      <c r="C30" s="3" t="n">
        <v>114.58</v>
      </c>
      <c r="D30" s="4" t="n">
        <v>1.34</v>
      </c>
      <c r="E30" s="3" t="n">
        <v>169.34</v>
      </c>
      <c r="F30" s="3" t="n">
        <v>194.12</v>
      </c>
      <c r="G30" s="3" t="n">
        <v/>
      </c>
      <c r="H30" s="3" t="n">
        <v/>
      </c>
      <c r="I30" s="3" t="n">
        <v>2.5</v>
      </c>
      <c r="J30" s="3" t="n">
        <v>-3.18</v>
      </c>
      <c r="K30" s="3" t="n">
        <v>-5.68</v>
      </c>
      <c r="L30" s="3" t="n">
        <v>-2.28</v>
      </c>
      <c r="M30" s="5" t="n">
        <v>-0.1</v>
      </c>
      <c r="N30" s="3" t="n">
        <v>17.7</v>
      </c>
      <c r="O30" s="3" t="n">
        <v>15.04</v>
      </c>
      <c r="P30" s="3" t="n">
        <v>18.75</v>
      </c>
      <c r="Q30" s="3" t="n">
        <v>3189</v>
      </c>
      <c r="R30" s="3" t="n">
        <v>-13.81</v>
      </c>
      <c r="S30" s="3" t="n">
        <v>-45.34</v>
      </c>
      <c r="T30" s="3" t="n">
        <v>-65.45</v>
      </c>
      <c r="U30" s="3" t="n">
        <v>-82.91</v>
      </c>
      <c r="V30" s="3" t="n">
        <v>61.28</v>
      </c>
      <c r="W30" s="3" t="n">
        <v>34.18</v>
      </c>
      <c r="X30" s="3" t="n">
        <v>2.42</v>
      </c>
      <c r="Y30" s="3" t="n">
        <v>63.31</v>
      </c>
      <c r="Z30" s="3" t="n">
        <v>1.4</v>
      </c>
      <c r="AA30" s="3" t="n">
        <v>-17.08</v>
      </c>
      <c r="AB30" s="5" t="n">
        <v>0.2</v>
      </c>
      <c r="AC30" s="3" t="n">
        <v/>
      </c>
      <c r="AD30" s="3" t="n">
        <v>5.14</v>
      </c>
      <c r="AE30" s="3" t="n">
        <v/>
      </c>
    </row>
    <row r="31">
      <c r="A31" s="6" t="n">
        <v>46100.55930555556</v>
      </c>
      <c r="B31" s="7" t="n">
        <v>83.08</v>
      </c>
      <c r="C31" s="7" t="n">
        <v>110.39</v>
      </c>
      <c r="D31" s="8" t="n">
        <v>1.33</v>
      </c>
      <c r="E31" s="7" t="n">
        <v>163.05</v>
      </c>
      <c r="F31" s="7" t="n">
        <v>186.41</v>
      </c>
      <c r="G31" s="7" t="n">
        <v/>
      </c>
      <c r="H31" s="7" t="n">
        <v/>
      </c>
      <c r="I31" s="7" t="n">
        <v>4.3</v>
      </c>
      <c r="J31" s="7" t="n">
        <v>-2.54</v>
      </c>
      <c r="K31" s="7" t="n">
        <v>-6.84</v>
      </c>
      <c r="L31" s="7" t="n">
        <v>-1.6</v>
      </c>
      <c r="M31" s="9" t="n">
        <v>-0.9</v>
      </c>
      <c r="N31" s="7" t="n">
        <v>19.58</v>
      </c>
      <c r="O31" s="7" t="n">
        <v>16.94</v>
      </c>
      <c r="P31" s="7" t="n">
        <v>21.63</v>
      </c>
      <c r="Q31" s="7" t="n">
        <v>3051.08</v>
      </c>
      <c r="R31" s="7" t="n">
        <v>-15.65</v>
      </c>
      <c r="S31" s="7" t="n">
        <v>-47.45</v>
      </c>
      <c r="T31" s="7" t="n">
        <v>-61.01</v>
      </c>
      <c r="U31" s="7" t="n">
        <v>-77.77</v>
      </c>
      <c r="V31" s="7" t="n">
        <v>63.42</v>
      </c>
      <c r="W31" s="7" t="n">
        <v>35.28</v>
      </c>
      <c r="X31" s="7" t="n">
        <v>3.89</v>
      </c>
      <c r="Y31" s="7" t="n">
        <v>64.72</v>
      </c>
      <c r="Z31" s="7" t="n">
        <v>1.43</v>
      </c>
      <c r="AA31" s="7" t="n">
        <v>-17.86</v>
      </c>
      <c r="AB31" s="9" t="n">
        <v>1.06</v>
      </c>
      <c r="AC31" s="7" t="n">
        <v/>
      </c>
      <c r="AD31" s="7" t="n">
        <v>5.11</v>
      </c>
      <c r="AE31" s="7" t="n">
        <v/>
      </c>
    </row>
    <row r="32">
      <c r="A32" s="2" t="n">
        <v>46100.5418287037</v>
      </c>
      <c r="B32" s="3" t="n">
        <v>87.98</v>
      </c>
      <c r="C32" s="3" t="n">
        <v>121.57</v>
      </c>
      <c r="D32" s="4" t="n">
        <v>1.38</v>
      </c>
      <c r="E32" s="3" t="n">
        <v>183.27</v>
      </c>
      <c r="F32" s="3" t="n">
        <v>217.53</v>
      </c>
      <c r="G32" s="3" t="n">
        <v/>
      </c>
      <c r="H32" s="3" t="n">
        <v/>
      </c>
      <c r="I32" s="3" t="n">
        <v>3</v>
      </c>
      <c r="J32" s="3" t="n">
        <v>-3.51</v>
      </c>
      <c r="K32" s="3" t="n">
        <v>-6.51</v>
      </c>
      <c r="L32" s="3" t="n">
        <v>-2.89</v>
      </c>
      <c r="M32" s="5" t="n">
        <v>3</v>
      </c>
      <c r="N32" s="3" t="n">
        <v>17.03</v>
      </c>
      <c r="O32" s="3" t="n">
        <v>15.76</v>
      </c>
      <c r="P32" s="3" t="n">
        <v>15.44</v>
      </c>
      <c r="Q32" s="3" t="n">
        <v>1692.92</v>
      </c>
      <c r="R32" s="3" t="n">
        <v>-17.37</v>
      </c>
      <c r="S32" s="3" t="n">
        <v>-40.32</v>
      </c>
      <c r="T32" s="3" t="n">
        <v>-67.92</v>
      </c>
      <c r="U32" s="3" t="n">
        <v>-88.84</v>
      </c>
      <c r="V32" s="3" t="n">
        <v>57.03</v>
      </c>
      <c r="W32" s="3" t="n">
        <v>28.45</v>
      </c>
      <c r="X32" s="3" t="n">
        <v>4.41</v>
      </c>
      <c r="Y32" s="3" t="n">
        <v>59.17</v>
      </c>
      <c r="Z32" s="3" t="n">
        <v>1.31</v>
      </c>
      <c r="AA32" s="3" t="n">
        <v>-24.19</v>
      </c>
      <c r="AB32" s="5" t="n">
        <v>-4.41</v>
      </c>
      <c r="AC32" s="3" t="n">
        <v/>
      </c>
      <c r="AD32" s="3" t="n">
        <v>4.72</v>
      </c>
      <c r="AE32" s="3" t="n">
        <v/>
      </c>
    </row>
    <row r="33">
      <c r="A33" s="6" t="n">
        <v>46100.54336805556</v>
      </c>
      <c r="B33" s="7" t="n">
        <v>91.78</v>
      </c>
      <c r="C33" s="7" t="n">
        <v>133.35</v>
      </c>
      <c r="D33" s="8" t="n">
        <v>1.45</v>
      </c>
      <c r="E33" s="7" t="n">
        <v>214.06</v>
      </c>
      <c r="F33" s="7" t="n">
        <v>230.09</v>
      </c>
      <c r="G33" s="7" t="n">
        <v/>
      </c>
      <c r="H33" s="7" t="n">
        <v/>
      </c>
      <c r="I33" s="7" t="n">
        <v>-1</v>
      </c>
      <c r="J33" s="7" t="n">
        <v>0.45</v>
      </c>
      <c r="K33" s="7" t="n">
        <v>1.45</v>
      </c>
      <c r="L33" s="7" t="n">
        <v>0.21</v>
      </c>
      <c r="M33" s="9" t="n">
        <v>0.8</v>
      </c>
      <c r="N33" s="7" t="n">
        <v>17.26</v>
      </c>
      <c r="O33" s="7" t="n">
        <v>14.97</v>
      </c>
      <c r="P33" s="7" t="n">
        <v>16.58</v>
      </c>
      <c r="Q33" s="7" t="n">
        <v>3046.89</v>
      </c>
      <c r="R33" s="7" t="n">
        <v>3.16</v>
      </c>
      <c r="S33" s="7" t="n">
        <v>15.47</v>
      </c>
      <c r="T33" s="7" t="n">
        <v>17.82</v>
      </c>
      <c r="U33" s="7" t="n">
        <v>20.59</v>
      </c>
      <c r="V33" s="7" t="n">
        <v>90.09</v>
      </c>
      <c r="W33" s="7" t="n">
        <v>39.99</v>
      </c>
      <c r="X33" s="7" t="n">
        <v>-0.98</v>
      </c>
      <c r="Y33" s="7" t="n">
        <v>47.23</v>
      </c>
      <c r="Z33" s="7" t="n">
        <v>1.32</v>
      </c>
      <c r="AA33" s="7" t="n">
        <v>5.46</v>
      </c>
      <c r="AB33" s="9" t="n">
        <v>-2.05</v>
      </c>
      <c r="AC33" s="7" t="n">
        <v/>
      </c>
      <c r="AD33" s="7" t="n">
        <v>6.27</v>
      </c>
      <c r="AE33" s="7" t="n">
        <v/>
      </c>
    </row>
    <row r="34">
      <c r="A34" s="2" t="n">
        <v>46100.54221064815</v>
      </c>
      <c r="B34" s="3" t="n">
        <v>88.12</v>
      </c>
      <c r="C34" s="3" t="n">
        <v>128.21</v>
      </c>
      <c r="D34" s="4" t="n">
        <v>1.46</v>
      </c>
      <c r="E34" s="3" t="n">
        <v>199.89</v>
      </c>
      <c r="F34" s="3" t="n">
        <v>233.31</v>
      </c>
      <c r="G34" s="3" t="n">
        <v/>
      </c>
      <c r="H34" s="3" t="n">
        <v/>
      </c>
      <c r="I34" s="3" t="n">
        <v>0.2</v>
      </c>
      <c r="J34" s="3" t="n">
        <v>-3.35</v>
      </c>
      <c r="K34" s="3" t="n">
        <v>-3.55</v>
      </c>
      <c r="L34" s="3" t="n">
        <v>-2.97</v>
      </c>
      <c r="M34" s="5" t="n">
        <v>2.4</v>
      </c>
      <c r="N34" s="3" t="n">
        <v>16.19</v>
      </c>
      <c r="O34" s="3" t="n">
        <v>14.77</v>
      </c>
      <c r="P34" s="3" t="n">
        <v>14.31</v>
      </c>
      <c r="Q34" s="3" t="n">
        <v>1868.43</v>
      </c>
      <c r="R34" s="3" t="n">
        <v>-9.710000000000001</v>
      </c>
      <c r="S34" s="3" t="n">
        <v>-28.25</v>
      </c>
      <c r="T34" s="3" t="n">
        <v>-59.25</v>
      </c>
      <c r="U34" s="3" t="n">
        <v>-74.34</v>
      </c>
      <c r="V34" s="3" t="n">
        <v>62.67</v>
      </c>
      <c r="W34" s="3" t="n">
        <v>29.68</v>
      </c>
      <c r="X34" s="3" t="n">
        <v>1.53</v>
      </c>
      <c r="Y34" s="3" t="n">
        <v>52.62</v>
      </c>
      <c r="Z34" s="3" t="n">
        <v>1.3</v>
      </c>
      <c r="AA34" s="3" t="n">
        <v>-14</v>
      </c>
      <c r="AB34" s="5" t="n">
        <v>-3.82</v>
      </c>
      <c r="AC34" s="3" t="n">
        <v/>
      </c>
      <c r="AD34" s="3" t="n">
        <v>5.1</v>
      </c>
      <c r="AE34" s="3" t="n">
        <v/>
      </c>
    </row>
    <row r="35">
      <c r="A35" s="6" t="n">
        <v>46100.54298611111</v>
      </c>
      <c r="B35" s="7" t="n">
        <v>89.33</v>
      </c>
      <c r="C35" s="7" t="n">
        <v>128.83</v>
      </c>
      <c r="D35" s="8" t="n">
        <v>1.44</v>
      </c>
      <c r="E35" s="7" t="n">
        <v>199.28</v>
      </c>
      <c r="F35" s="7" t="n">
        <v>229.67</v>
      </c>
      <c r="G35" s="7" t="n">
        <v/>
      </c>
      <c r="H35" s="7" t="n">
        <v/>
      </c>
      <c r="I35" s="7" t="n">
        <v>5.3</v>
      </c>
      <c r="J35" s="7" t="n">
        <v>-3.24</v>
      </c>
      <c r="K35" s="7" t="n">
        <v>-8.539999999999999</v>
      </c>
      <c r="L35" s="7" t="n">
        <v>-2.1</v>
      </c>
      <c r="M35" s="9" t="n">
        <v>4.3</v>
      </c>
      <c r="N35" s="7" t="n">
        <v>16.47</v>
      </c>
      <c r="O35" s="7" t="n">
        <v>14.92</v>
      </c>
      <c r="P35" s="7" t="n">
        <v>14.83</v>
      </c>
      <c r="Q35" s="7" t="n">
        <v>2419</v>
      </c>
      <c r="R35" s="7" t="n">
        <v>-23.5</v>
      </c>
      <c r="S35" s="7" t="n">
        <v>-81.64</v>
      </c>
      <c r="T35" s="7" t="n">
        <v>-103.33</v>
      </c>
      <c r="U35" s="7" t="n">
        <v>-133.57</v>
      </c>
      <c r="V35" s="7" t="n">
        <v>67.22</v>
      </c>
      <c r="W35" s="7" t="n">
        <v>32.02</v>
      </c>
      <c r="X35" s="7" t="n">
        <v>7.73</v>
      </c>
      <c r="Y35" s="7" t="n">
        <v>60.38</v>
      </c>
      <c r="Z35" s="7" t="n">
        <v>1.44</v>
      </c>
      <c r="AA35" s="7" t="n">
        <v>-33.76</v>
      </c>
      <c r="AB35" s="9" t="n">
        <v>-4.8</v>
      </c>
      <c r="AC35" s="7" t="n">
        <v/>
      </c>
      <c r="AD35" s="7" t="n">
        <v>5.34</v>
      </c>
      <c r="AE35" s="7" t="n">
        <v/>
      </c>
    </row>
    <row r="36">
      <c r="A36" s="2" t="n">
        <v>46100.54258101852</v>
      </c>
      <c r="B36" s="3" t="n">
        <v>90.97</v>
      </c>
      <c r="C36" s="3" t="n">
        <v>131.95</v>
      </c>
      <c r="D36" s="4" t="n">
        <v>1.45</v>
      </c>
      <c r="E36" s="3" t="n">
        <v>195.48</v>
      </c>
      <c r="F36" s="3" t="n">
        <v>229.11</v>
      </c>
      <c r="G36" s="3" t="n">
        <v/>
      </c>
      <c r="H36" s="3" t="n">
        <v/>
      </c>
      <c r="I36" s="3" t="n">
        <v>2.1</v>
      </c>
      <c r="J36" s="3" t="n">
        <v>-5.4</v>
      </c>
      <c r="K36" s="3" t="n">
        <v>-7.5</v>
      </c>
      <c r="L36" s="3" t="n">
        <v>-4.43</v>
      </c>
      <c r="M36" s="5" t="n">
        <v>2.5</v>
      </c>
      <c r="N36" s="3" t="n">
        <v>13.5</v>
      </c>
      <c r="O36" s="3" t="n">
        <v>12.14</v>
      </c>
      <c r="P36" s="3" t="n">
        <v>13.28</v>
      </c>
      <c r="Q36" s="3" t="n">
        <v>2169</v>
      </c>
      <c r="R36" s="3" t="n">
        <v>-21.97</v>
      </c>
      <c r="S36" s="3" t="n">
        <v>-64.79000000000001</v>
      </c>
      <c r="T36" s="3" t="n">
        <v>-109.61</v>
      </c>
      <c r="U36" s="3" t="n">
        <v>-141.77</v>
      </c>
      <c r="V36" s="3" t="n">
        <v>51.46</v>
      </c>
      <c r="W36" s="3" t="n">
        <v>26.09</v>
      </c>
      <c r="X36" s="3" t="n">
        <v>3.98</v>
      </c>
      <c r="Y36" s="3" t="n">
        <v>54.9</v>
      </c>
      <c r="Z36" s="3" t="n">
        <v>1.48</v>
      </c>
      <c r="AA36" s="3" t="n">
        <v>-33.95</v>
      </c>
      <c r="AB36" s="5" t="n">
        <v>-3.15</v>
      </c>
      <c r="AC36" s="3" t="n">
        <v/>
      </c>
      <c r="AD36" s="3" t="n">
        <v>4.79</v>
      </c>
      <c r="AE36" s="3" t="n">
        <v/>
      </c>
    </row>
    <row r="37">
      <c r="A37" s="6" t="n">
        <v>46100.54372685185</v>
      </c>
      <c r="B37" s="7" t="n">
        <v>88.51000000000001</v>
      </c>
      <c r="C37" s="7" t="n">
        <v>129.41</v>
      </c>
      <c r="D37" s="8" t="n">
        <v>1.46</v>
      </c>
      <c r="E37" s="7" t="n">
        <v>206.52</v>
      </c>
      <c r="F37" s="7" t="n">
        <v>236.88</v>
      </c>
      <c r="G37" s="7" t="n">
        <v/>
      </c>
      <c r="H37" s="7" t="n">
        <v/>
      </c>
      <c r="I37" s="7" t="n">
        <v>1.2</v>
      </c>
      <c r="J37" s="7" t="n">
        <v>-1.93</v>
      </c>
      <c r="K37" s="7" t="n">
        <v>-3.13</v>
      </c>
      <c r="L37" s="7" t="n">
        <v>-1.55</v>
      </c>
      <c r="M37" s="9" t="n">
        <v>2.8</v>
      </c>
      <c r="N37" s="7" t="n">
        <v>16.86</v>
      </c>
      <c r="O37" s="7" t="n">
        <v>15.26</v>
      </c>
      <c r="P37" s="7" t="n">
        <v>14.34</v>
      </c>
      <c r="Q37" s="7" t="n">
        <v>2109</v>
      </c>
      <c r="R37" s="7" t="n">
        <v>-8.119999999999999</v>
      </c>
      <c r="S37" s="7" t="n">
        <v>-27.77</v>
      </c>
      <c r="T37" s="7" t="n">
        <v>-44.52</v>
      </c>
      <c r="U37" s="7" t="n">
        <v>-55.6</v>
      </c>
      <c r="V37" s="7" t="n">
        <v>70.86</v>
      </c>
      <c r="W37" s="7" t="n">
        <v>32.53</v>
      </c>
      <c r="X37" s="7" t="n">
        <v>2.88</v>
      </c>
      <c r="Y37" s="7" t="n">
        <v>53.9</v>
      </c>
      <c r="Z37" s="7" t="n">
        <v>1.32</v>
      </c>
      <c r="AA37" s="7" t="n">
        <v>-12.32</v>
      </c>
      <c r="AB37" s="9" t="n">
        <v>-4.45</v>
      </c>
      <c r="AC37" s="7" t="n">
        <v/>
      </c>
      <c r="AD37" s="7" t="n">
        <v>5.47</v>
      </c>
      <c r="AE37" s="7" t="n">
        <v/>
      </c>
    </row>
    <row r="38">
      <c r="A38" s="2" t="n">
        <v>46100.53701388889</v>
      </c>
      <c r="B38" s="3" t="n">
        <v>89.40000000000001</v>
      </c>
      <c r="C38" s="3" t="n">
        <v>132.72</v>
      </c>
      <c r="D38" s="4" t="n">
        <v>1.48</v>
      </c>
      <c r="E38" s="3" t="n">
        <v>211.97</v>
      </c>
      <c r="F38" s="3" t="n">
        <v>242.01</v>
      </c>
      <c r="G38" s="3" t="n">
        <v/>
      </c>
      <c r="H38" s="3" t="n">
        <v/>
      </c>
      <c r="I38" s="3" t="n">
        <v>1.7</v>
      </c>
      <c r="J38" s="3" t="n">
        <v>2.07</v>
      </c>
      <c r="K38" s="3" t="n">
        <v>0.37</v>
      </c>
      <c r="L38" s="3" t="n">
        <v>2.02</v>
      </c>
      <c r="M38" s="5" t="n">
        <v>1.5</v>
      </c>
      <c r="N38" s="3" t="n">
        <v>15.61</v>
      </c>
      <c r="O38" s="3" t="n">
        <v>13.87</v>
      </c>
      <c r="P38" s="3" t="n">
        <v>14.07</v>
      </c>
      <c r="Q38" s="3" t="n">
        <v>2297.43</v>
      </c>
      <c r="R38" s="3" t="n">
        <v>1.52</v>
      </c>
      <c r="S38" s="3" t="n">
        <v>5.74</v>
      </c>
      <c r="T38" s="3" t="n">
        <v>28.11</v>
      </c>
      <c r="U38" s="3" t="n">
        <v>33.02</v>
      </c>
      <c r="V38" s="3" t="n">
        <v>69.94</v>
      </c>
      <c r="W38" s="3" t="n">
        <v>32.36</v>
      </c>
      <c r="X38" s="3" t="n">
        <v>2.65</v>
      </c>
      <c r="Y38" s="3" t="n">
        <v>56.47</v>
      </c>
      <c r="Z38" s="3" t="n">
        <v>1.44</v>
      </c>
      <c r="AA38" s="3" t="n">
        <v>1.79</v>
      </c>
      <c r="AB38" s="5" t="n">
        <v>-1.85</v>
      </c>
      <c r="AC38" s="3" t="n">
        <v/>
      </c>
      <c r="AD38" s="3" t="n">
        <v>5.57</v>
      </c>
      <c r="AE38" s="3" t="n">
        <v/>
      </c>
    </row>
    <row r="39">
      <c r="A39" s="6" t="n">
        <v>46100.53807870371</v>
      </c>
      <c r="B39" s="7" t="n">
        <v>90.51000000000001</v>
      </c>
      <c r="C39" s="7" t="n">
        <v>130.87</v>
      </c>
      <c r="D39" s="8" t="n">
        <v>1.45</v>
      </c>
      <c r="E39" s="7" t="n">
        <v>202.75</v>
      </c>
      <c r="F39" s="7" t="n">
        <v>227.66</v>
      </c>
      <c r="G39" s="7" t="n">
        <v/>
      </c>
      <c r="H39" s="7" t="n">
        <v/>
      </c>
      <c r="I39" s="7" t="n">
        <v>0</v>
      </c>
      <c r="J39" s="7" t="n">
        <v>-2.48</v>
      </c>
      <c r="K39" s="7" t="n">
        <v>-2.48</v>
      </c>
      <c r="L39" s="7" t="n">
        <v>-1.96</v>
      </c>
      <c r="M39" s="9" t="n">
        <v>2.8</v>
      </c>
      <c r="N39" s="7" t="n">
        <v>14.49</v>
      </c>
      <c r="O39" s="7" t="n">
        <v>12.15</v>
      </c>
      <c r="P39" s="7" t="n">
        <v>11.86</v>
      </c>
      <c r="Q39" s="7" t="n">
        <v>3107.2</v>
      </c>
      <c r="R39" s="7" t="n">
        <v>-6.15</v>
      </c>
      <c r="S39" s="7" t="n">
        <v>-26.79</v>
      </c>
      <c r="T39" s="7" t="n">
        <v>-47.52</v>
      </c>
      <c r="U39" s="7" t="n">
        <v>-57.31</v>
      </c>
      <c r="V39" s="7" t="n">
        <v>68.25</v>
      </c>
      <c r="W39" s="7" t="n">
        <v>34.37</v>
      </c>
      <c r="X39" s="7" t="n">
        <v>2.41</v>
      </c>
      <c r="Y39" s="7" t="n">
        <v>44.94</v>
      </c>
      <c r="Z39" s="7" t="n">
        <v>1.31</v>
      </c>
      <c r="AA39" s="7" t="n">
        <v>-11.86</v>
      </c>
      <c r="AB39" s="9" t="n">
        <v>-4.88</v>
      </c>
      <c r="AC39" s="7" t="n">
        <v/>
      </c>
      <c r="AD39" s="7" t="n">
        <v>5.68</v>
      </c>
      <c r="AE39" s="7" t="n">
        <v/>
      </c>
    </row>
    <row r="40">
      <c r="A40" s="2" t="n">
        <v>46100.54049768519</v>
      </c>
      <c r="B40" s="3" t="n">
        <v>88.95</v>
      </c>
      <c r="C40" s="3" t="n">
        <v>129.89</v>
      </c>
      <c r="D40" s="4" t="n">
        <v>1.46</v>
      </c>
      <c r="E40" s="3" t="n">
        <v>212.68</v>
      </c>
      <c r="F40" s="3" t="n">
        <v>230.43</v>
      </c>
      <c r="G40" s="3" t="n">
        <v/>
      </c>
      <c r="H40" s="3" t="n">
        <v/>
      </c>
      <c r="I40" s="3" t="n">
        <v>4.1</v>
      </c>
      <c r="J40" s="3" t="n">
        <v>2.33</v>
      </c>
      <c r="K40" s="3" t="n">
        <v>-1.77</v>
      </c>
      <c r="L40" s="3" t="n">
        <v>2.51</v>
      </c>
      <c r="M40" s="5" t="n">
        <v>-1.9</v>
      </c>
      <c r="N40" s="3" t="n">
        <v>19.29</v>
      </c>
      <c r="O40" s="3" t="n">
        <v>17.3</v>
      </c>
      <c r="P40" s="3" t="n">
        <v>21.44</v>
      </c>
      <c r="Q40" s="3" t="n">
        <v>2571</v>
      </c>
      <c r="R40" s="3" t="n">
        <v>-4.75</v>
      </c>
      <c r="S40" s="3" t="n">
        <v>-20.75</v>
      </c>
      <c r="T40" s="3" t="n">
        <v>7.24</v>
      </c>
      <c r="U40" s="3" t="n">
        <v>5.82</v>
      </c>
      <c r="V40" s="3" t="n">
        <v>92.44</v>
      </c>
      <c r="W40" s="3" t="n">
        <v>39.54</v>
      </c>
      <c r="X40" s="3" t="n">
        <v>2.69</v>
      </c>
      <c r="Y40" s="3" t="n">
        <v>54.59</v>
      </c>
      <c r="Z40" s="3" t="n">
        <v>1.37</v>
      </c>
      <c r="AA40" s="3" t="n">
        <v>-4.74</v>
      </c>
      <c r="AB40" s="5" t="n">
        <v>2.4</v>
      </c>
      <c r="AC40" s="3" t="n">
        <v/>
      </c>
      <c r="AD40" s="3" t="n">
        <v>6.2</v>
      </c>
      <c r="AE40" s="3" t="n">
        <v/>
      </c>
    </row>
    <row r="41">
      <c r="A41" s="6" t="n">
        <v>46100.53773148148</v>
      </c>
      <c r="B41" s="7" t="n">
        <v>87.68000000000001</v>
      </c>
      <c r="C41" s="7" t="n">
        <v>126.95</v>
      </c>
      <c r="D41" s="8" t="n">
        <v>1.45</v>
      </c>
      <c r="E41" s="7" t="n">
        <v>197.86</v>
      </c>
      <c r="F41" s="7" t="n">
        <v>232.04</v>
      </c>
      <c r="G41" s="7" t="n">
        <v/>
      </c>
      <c r="H41" s="7" t="n">
        <v/>
      </c>
      <c r="I41" s="7" t="n">
        <v>0.7</v>
      </c>
      <c r="J41" s="7" t="n">
        <v>0.32</v>
      </c>
      <c r="K41" s="7" t="n">
        <v>-0.39</v>
      </c>
      <c r="L41" s="7" t="n">
        <v>0.36</v>
      </c>
      <c r="M41" s="9" t="n">
        <v>3.5</v>
      </c>
      <c r="N41" s="7" t="n">
        <v>16.63</v>
      </c>
      <c r="O41" s="7" t="n">
        <v>15.33</v>
      </c>
      <c r="P41" s="7" t="n">
        <v>13.12</v>
      </c>
      <c r="Q41" s="7" t="n">
        <v>1634.47</v>
      </c>
      <c r="R41" s="7" t="n">
        <v>-2.52</v>
      </c>
      <c r="S41" s="7" t="n">
        <v>-6.62</v>
      </c>
      <c r="T41" s="7" t="n">
        <v>-2.9</v>
      </c>
      <c r="U41" s="7" t="n">
        <v>-4.62</v>
      </c>
      <c r="V41" s="7" t="n">
        <v>62.25</v>
      </c>
      <c r="W41" s="7" t="n">
        <v>29.31</v>
      </c>
      <c r="X41" s="7" t="n">
        <v>3.17</v>
      </c>
      <c r="Y41" s="7" t="n">
        <v>55.53</v>
      </c>
      <c r="Z41" s="7" t="n">
        <v>1.44</v>
      </c>
      <c r="AA41" s="7" t="n">
        <v>-1.83</v>
      </c>
      <c r="AB41" s="9" t="n">
        <v>-4.21</v>
      </c>
      <c r="AC41" s="7" t="n">
        <v/>
      </c>
      <c r="AD41" s="7" t="n">
        <v>4.99</v>
      </c>
      <c r="AE41" s="7" t="n">
        <v/>
      </c>
    </row>
    <row r="42">
      <c r="A42" s="2" t="n">
        <v>46100.53846064815</v>
      </c>
      <c r="B42" s="3" t="n">
        <v>89.33</v>
      </c>
      <c r="C42" s="3" t="n">
        <v>131.07</v>
      </c>
      <c r="D42" s="4" t="n">
        <v>1.47</v>
      </c>
      <c r="E42" s="3" t="n">
        <v>207.36</v>
      </c>
      <c r="F42" s="3" t="n">
        <v>235.87</v>
      </c>
      <c r="G42" s="3" t="n">
        <v/>
      </c>
      <c r="H42" s="3" t="n">
        <v/>
      </c>
      <c r="I42" s="3" t="n">
        <v>3.7</v>
      </c>
      <c r="J42" s="3" t="n">
        <v>-2.2</v>
      </c>
      <c r="K42" s="3" t="n">
        <v>-5.9</v>
      </c>
      <c r="L42" s="3" t="n">
        <v>-1.4</v>
      </c>
      <c r="M42" s="5" t="n">
        <v>3.3</v>
      </c>
      <c r="N42" s="3" t="n">
        <v>16.36</v>
      </c>
      <c r="O42" s="3" t="n">
        <v>14.66</v>
      </c>
      <c r="P42" s="3" t="n">
        <v>14.31</v>
      </c>
      <c r="Q42" s="3" t="n">
        <v>2438.67</v>
      </c>
      <c r="R42" s="3" t="n">
        <v>-16.53</v>
      </c>
      <c r="S42" s="3" t="n">
        <v>-62.88</v>
      </c>
      <c r="T42" s="3" t="n">
        <v>-77.94</v>
      </c>
      <c r="U42" s="3" t="n">
        <v>-98.65000000000001</v>
      </c>
      <c r="V42" s="3" t="n">
        <v>71.83</v>
      </c>
      <c r="W42" s="3" t="n">
        <v>33.3</v>
      </c>
      <c r="X42" s="3" t="n">
        <v>5.82</v>
      </c>
      <c r="Y42" s="3" t="n">
        <v>56.82</v>
      </c>
      <c r="Z42" s="3" t="n">
        <v>1.46</v>
      </c>
      <c r="AA42" s="3" t="n">
        <v>-23.37</v>
      </c>
      <c r="AB42" s="5" t="n">
        <v>-3.9</v>
      </c>
      <c r="AC42" s="3" t="n">
        <v/>
      </c>
      <c r="AD42" s="3" t="n">
        <v>5.59</v>
      </c>
      <c r="AE42" s="3" t="n">
        <v/>
      </c>
    </row>
    <row r="43">
      <c r="A43" s="6" t="n">
        <v>46100.53885416667</v>
      </c>
      <c r="B43" s="7" t="n">
        <v>90.39</v>
      </c>
      <c r="C43" s="7" t="n">
        <v>130.55</v>
      </c>
      <c r="D43" s="8" t="n">
        <v>1.44</v>
      </c>
      <c r="E43" s="7" t="n">
        <v>203.06</v>
      </c>
      <c r="F43" s="7" t="n">
        <v>214.61</v>
      </c>
      <c r="G43" s="7" t="n">
        <v/>
      </c>
      <c r="H43" s="7" t="n">
        <v/>
      </c>
      <c r="I43" s="7" t="n">
        <v>-1</v>
      </c>
      <c r="J43" s="7" t="n">
        <v>5.13</v>
      </c>
      <c r="K43" s="7" t="n">
        <v>6.13</v>
      </c>
      <c r="L43" s="7" t="n">
        <v>4.15</v>
      </c>
      <c r="M43" s="9" t="n">
        <v>1.4</v>
      </c>
      <c r="N43" s="7" t="n">
        <v>19.02</v>
      </c>
      <c r="O43" s="7" t="n">
        <v>16.38</v>
      </c>
      <c r="P43" s="7" t="n">
        <v>18.59</v>
      </c>
      <c r="Q43" s="7" t="n">
        <v>3625.26</v>
      </c>
      <c r="R43" s="7" t="n">
        <v>13.73</v>
      </c>
      <c r="S43" s="7" t="n">
        <v>69.34</v>
      </c>
      <c r="T43" s="7" t="n">
        <v>113.01</v>
      </c>
      <c r="U43" s="7" t="n">
        <v>124.77</v>
      </c>
      <c r="V43" s="7" t="n">
        <v>98.12</v>
      </c>
      <c r="W43" s="7" t="n">
        <v>43.41</v>
      </c>
      <c r="X43" s="7" t="n">
        <v>-0.08</v>
      </c>
      <c r="Y43" s="7" t="n">
        <v>44.15</v>
      </c>
      <c r="Z43" s="7" t="n">
        <v>1.29</v>
      </c>
      <c r="AA43" s="7" t="n">
        <v>18.52</v>
      </c>
      <c r="AB43" s="9" t="n">
        <v>-2.91</v>
      </c>
      <c r="AC43" s="7" t="n">
        <v/>
      </c>
      <c r="AD43" s="7" t="n">
        <v>6.38</v>
      </c>
      <c r="AE43" s="7" t="n">
        <v/>
      </c>
    </row>
    <row r="44">
      <c r="A44" s="2" t="n">
        <v>46100.54087962963</v>
      </c>
      <c r="B44" s="3" t="n">
        <v>90.23999999999999</v>
      </c>
      <c r="C44" s="3" t="n">
        <v>131.83</v>
      </c>
      <c r="D44" s="4" t="n">
        <v>1.46</v>
      </c>
      <c r="E44" s="3" t="n">
        <v>196.46</v>
      </c>
      <c r="F44" s="3" t="n">
        <v>229.95</v>
      </c>
      <c r="G44" s="3" t="n">
        <v/>
      </c>
      <c r="H44" s="3" t="n">
        <v/>
      </c>
      <c r="I44" s="3" t="n">
        <v>2.3</v>
      </c>
      <c r="J44" s="3" t="n">
        <v>-6.21</v>
      </c>
      <c r="K44" s="3" t="n">
        <v>-8.51</v>
      </c>
      <c r="L44" s="3" t="n">
        <v>-5.17</v>
      </c>
      <c r="M44" s="5" t="n">
        <v>2.5</v>
      </c>
      <c r="N44" s="3" t="n">
        <v>14.07</v>
      </c>
      <c r="O44" s="3" t="n">
        <v>12.72</v>
      </c>
      <c r="P44" s="3" t="n">
        <v>14.21</v>
      </c>
      <c r="Q44" s="3" t="n">
        <v>2198.21</v>
      </c>
      <c r="R44" s="3" t="n">
        <v>-24.5</v>
      </c>
      <c r="S44" s="3" t="n">
        <v>-73.81</v>
      </c>
      <c r="T44" s="3" t="n">
        <v>-126.23</v>
      </c>
      <c r="U44" s="3" t="n">
        <v>-162.64</v>
      </c>
      <c r="V44" s="3" t="n">
        <v>54.15</v>
      </c>
      <c r="W44" s="3" t="n">
        <v>27.03</v>
      </c>
      <c r="X44" s="3" t="n">
        <v>4.03</v>
      </c>
      <c r="Y44" s="3" t="n">
        <v>55.72</v>
      </c>
      <c r="Z44" s="3" t="n">
        <v>1.46</v>
      </c>
      <c r="AA44" s="3" t="n">
        <v>-35.56</v>
      </c>
      <c r="AB44" s="5" t="n">
        <v>-3.15</v>
      </c>
      <c r="AC44" s="3" t="n">
        <v/>
      </c>
      <c r="AD44" s="3" t="n">
        <v>4.87</v>
      </c>
      <c r="AE44" s="3" t="n">
        <v/>
      </c>
    </row>
    <row r="45">
      <c r="A45" s="6" t="n">
        <v>46100.53928240741</v>
      </c>
      <c r="B45" s="7" t="n">
        <v>88.87</v>
      </c>
      <c r="C45" s="7" t="n">
        <v>129.07</v>
      </c>
      <c r="D45" s="8" t="n">
        <v>1.45</v>
      </c>
      <c r="E45" s="7" t="n">
        <v>208.7</v>
      </c>
      <c r="F45" s="7" t="n">
        <v>237.29</v>
      </c>
      <c r="G45" s="7" t="n">
        <v/>
      </c>
      <c r="H45" s="7" t="n">
        <v/>
      </c>
      <c r="I45" s="7" t="n">
        <v>1.7</v>
      </c>
      <c r="J45" s="7" t="n">
        <v>2.2</v>
      </c>
      <c r="K45" s="7" t="n">
        <v>0.5</v>
      </c>
      <c r="L45" s="7" t="n">
        <v>2.15</v>
      </c>
      <c r="M45" s="9" t="n">
        <v>2.7</v>
      </c>
      <c r="N45" s="7" t="n">
        <v>17.72</v>
      </c>
      <c r="O45" s="7" t="n">
        <v>16.12</v>
      </c>
      <c r="P45" s="7" t="n">
        <v>14.97</v>
      </c>
      <c r="Q45" s="7" t="n">
        <v>2041</v>
      </c>
      <c r="R45" s="7" t="n">
        <v>-0.04</v>
      </c>
      <c r="S45" s="7" t="n">
        <v>-0.12</v>
      </c>
      <c r="T45" s="7" t="n">
        <v>23.42</v>
      </c>
      <c r="U45" s="7" t="n">
        <v>26.61</v>
      </c>
      <c r="V45" s="7" t="n">
        <v>75.54000000000001</v>
      </c>
      <c r="W45" s="7" t="n">
        <v>33.78</v>
      </c>
      <c r="X45" s="7" t="n">
        <v>3.69</v>
      </c>
      <c r="Y45" s="7" t="n">
        <v>55.21</v>
      </c>
      <c r="Z45" s="7" t="n">
        <v>1.5</v>
      </c>
      <c r="AA45" s="7" t="n">
        <v>1.59</v>
      </c>
      <c r="AB45" s="9" t="n">
        <v>-3.46</v>
      </c>
      <c r="AC45" s="7" t="n">
        <v/>
      </c>
      <c r="AD45" s="7" t="n">
        <v>5.59</v>
      </c>
      <c r="AE45" s="7" t="n">
        <v/>
      </c>
    </row>
    <row r="46">
      <c r="A46" s="2" t="n">
        <v>46100.55734953703</v>
      </c>
      <c r="B46" s="3" t="n">
        <v>85.13</v>
      </c>
      <c r="C46" s="3" t="n">
        <v>114.52</v>
      </c>
      <c r="D46" s="4" t="n">
        <v>1.35</v>
      </c>
      <c r="E46" s="3" t="n">
        <v>170.1</v>
      </c>
      <c r="F46" s="3" t="n">
        <v>196.21</v>
      </c>
      <c r="G46" s="3" t="n">
        <v>-3.06</v>
      </c>
      <c r="H46" s="3" t="n">
        <v>-9.69</v>
      </c>
      <c r="I46" s="3" t="n">
        <v>4.1</v>
      </c>
      <c r="J46" s="3" t="n">
        <v>-1.53</v>
      </c>
      <c r="K46" s="3" t="n">
        <v>-5.63</v>
      </c>
      <c r="L46" s="3" t="n">
        <v>-0.67</v>
      </c>
      <c r="M46" s="5" t="n">
        <v>0.5</v>
      </c>
      <c r="N46" s="3" t="n">
        <v>17.62</v>
      </c>
      <c r="O46" s="3" t="n">
        <v>15.1</v>
      </c>
      <c r="P46" s="3" t="n">
        <v>18.03</v>
      </c>
      <c r="Q46" s="3" t="n">
        <v>3016.41</v>
      </c>
      <c r="R46" s="3" t="n">
        <v>-12.57</v>
      </c>
      <c r="S46" s="3" t="n">
        <v>-40.15</v>
      </c>
      <c r="T46" s="3" t="n">
        <v>-46.12</v>
      </c>
      <c r="U46" s="3" t="n">
        <v>-60.46</v>
      </c>
      <c r="V46" s="3" t="n">
        <v>60.38</v>
      </c>
      <c r="W46" s="3" t="n">
        <v>33.55</v>
      </c>
      <c r="X46" s="3" t="n">
        <v>4.25</v>
      </c>
      <c r="Y46" s="3" t="n">
        <v>63.59</v>
      </c>
      <c r="Z46" s="3" t="n">
        <v>1.43</v>
      </c>
      <c r="AA46" s="3" t="n">
        <v>-17.37</v>
      </c>
      <c r="AB46" s="5" t="n">
        <v>-0.47</v>
      </c>
      <c r="AC46" s="3" t="n">
        <v/>
      </c>
      <c r="AD46" s="3" t="n">
        <v>5.11</v>
      </c>
      <c r="AE46" s="3" t="n">
        <v>56.38</v>
      </c>
    </row>
    <row r="47">
      <c r="A47" s="6" t="n">
        <v>46100.55819444444</v>
      </c>
      <c r="B47" s="7" t="n">
        <v>86.15000000000001</v>
      </c>
      <c r="C47" s="7" t="n">
        <v>112.09</v>
      </c>
      <c r="D47" s="8" t="n">
        <v>1.3</v>
      </c>
      <c r="E47" s="7" t="n">
        <v>165.23</v>
      </c>
      <c r="F47" s="7" t="n">
        <v>187.87</v>
      </c>
      <c r="G47" s="7" t="n">
        <v/>
      </c>
      <c r="H47" s="7" t="n">
        <v/>
      </c>
      <c r="I47" s="7" t="n">
        <v>2.9</v>
      </c>
      <c r="J47" s="7" t="n">
        <v>-1.05</v>
      </c>
      <c r="K47" s="7" t="n">
        <v>-3.96</v>
      </c>
      <c r="L47" s="7" t="n">
        <v>-0.34</v>
      </c>
      <c r="M47" s="9" t="n">
        <v>1.5</v>
      </c>
      <c r="N47" s="7" t="n">
        <v>18.56</v>
      </c>
      <c r="O47" s="7" t="n">
        <v>15.68</v>
      </c>
      <c r="P47" s="7" t="n">
        <v>17.46</v>
      </c>
      <c r="Q47" s="7" t="n">
        <v>3294.14</v>
      </c>
      <c r="R47" s="7" t="n">
        <v>-10.29</v>
      </c>
      <c r="S47" s="7" t="n">
        <v>-33.36</v>
      </c>
      <c r="T47" s="7" t="n">
        <v>-36.32</v>
      </c>
      <c r="U47" s="7" t="n">
        <v>-46.79</v>
      </c>
      <c r="V47" s="7" t="n">
        <v>62.73</v>
      </c>
      <c r="W47" s="7" t="n">
        <v>35.33</v>
      </c>
      <c r="X47" s="7" t="n">
        <v>3.64</v>
      </c>
      <c r="Y47" s="7" t="n">
        <v>65.28</v>
      </c>
      <c r="Z47" s="7" t="n">
        <v>1.51</v>
      </c>
      <c r="AA47" s="7" t="n">
        <v>-12.68</v>
      </c>
      <c r="AB47" s="9" t="n">
        <v>-1.77</v>
      </c>
      <c r="AC47" s="7" t="n">
        <v/>
      </c>
      <c r="AD47" s="7" t="n">
        <v>5.17</v>
      </c>
      <c r="AE47" s="7" t="n">
        <v/>
      </c>
    </row>
    <row r="48">
      <c r="A48" s="2" t="n">
        <v>46100.55755787037</v>
      </c>
      <c r="B48" s="3" t="n">
        <v>85.20999999999999</v>
      </c>
      <c r="C48" s="3" t="n">
        <v>122.54</v>
      </c>
      <c r="D48" s="4" t="n">
        <v>1.44</v>
      </c>
      <c r="E48" s="3" t="n">
        <v>173.79</v>
      </c>
      <c r="F48" s="3" t="n">
        <v>199.42</v>
      </c>
      <c r="G48" s="3" t="n">
        <v/>
      </c>
      <c r="H48" s="3" t="n">
        <v/>
      </c>
      <c r="I48" s="3" t="n">
        <v>1.3</v>
      </c>
      <c r="J48" s="3" t="n">
        <v>-7.18</v>
      </c>
      <c r="K48" s="3" t="n">
        <v>-8.48</v>
      </c>
      <c r="L48" s="3" t="n">
        <v>-5.5</v>
      </c>
      <c r="M48" s="5" t="n">
        <v>-0.5</v>
      </c>
      <c r="N48" s="3" t="n">
        <v>14.56</v>
      </c>
      <c r="O48" s="3" t="n">
        <v>11.67</v>
      </c>
      <c r="P48" s="3" t="n">
        <v>17.34</v>
      </c>
      <c r="Q48" s="3" t="n">
        <v>4039</v>
      </c>
      <c r="R48" s="3" t="n">
        <v>-22.64</v>
      </c>
      <c r="S48" s="3" t="n">
        <v>-85.18000000000001</v>
      </c>
      <c r="T48" s="3" t="n">
        <v>-134.12</v>
      </c>
      <c r="U48" s="3" t="n">
        <v>-169.56</v>
      </c>
      <c r="V48" s="3" t="n">
        <v>56.12</v>
      </c>
      <c r="W48" s="3" t="n">
        <v>32.65</v>
      </c>
      <c r="X48" s="3" t="n">
        <v>1</v>
      </c>
      <c r="Y48" s="3" t="n">
        <v>64.08</v>
      </c>
      <c r="Z48" s="3" t="n">
        <v>1.47</v>
      </c>
      <c r="AA48" s="3" t="n">
        <v>-28.6</v>
      </c>
      <c r="AB48" s="5" t="n">
        <v>0.71</v>
      </c>
      <c r="AC48" s="3" t="n">
        <v/>
      </c>
      <c r="AD48" s="3" t="n">
        <v>5.11</v>
      </c>
      <c r="AE48" s="3" t="n">
        <v/>
      </c>
    </row>
    <row r="49">
      <c r="A49" s="6" t="n">
        <v>46100.55788194444</v>
      </c>
      <c r="B49" s="7" t="n">
        <v>85.98999999999999</v>
      </c>
      <c r="C49" s="7" t="n">
        <v>117.35</v>
      </c>
      <c r="D49" s="8" t="n">
        <v>1.36</v>
      </c>
      <c r="E49" s="7" t="n">
        <v>171.56</v>
      </c>
      <c r="F49" s="7" t="n">
        <v>186.13</v>
      </c>
      <c r="G49" s="7" t="n">
        <v/>
      </c>
      <c r="H49" s="7" t="n">
        <v/>
      </c>
      <c r="I49" s="7" t="n">
        <v>0.7</v>
      </c>
      <c r="J49" s="7" t="n">
        <v>-6.21</v>
      </c>
      <c r="K49" s="7" t="n">
        <v>-6.92</v>
      </c>
      <c r="L49" s="7" t="n">
        <v>-5.01</v>
      </c>
      <c r="M49" s="9" t="n">
        <v>-2.3</v>
      </c>
      <c r="N49" s="7" t="n">
        <v>18.93</v>
      </c>
      <c r="O49" s="7" t="n">
        <v>15.5</v>
      </c>
      <c r="P49" s="7" t="n">
        <v>22.43</v>
      </c>
      <c r="Q49" s="7" t="n">
        <v>4215.4</v>
      </c>
      <c r="R49" s="7" t="n">
        <v>-14.27</v>
      </c>
      <c r="S49" s="7" t="n">
        <v>-56.75</v>
      </c>
      <c r="T49" s="7" t="n">
        <v>-101.24</v>
      </c>
      <c r="U49" s="7" t="n">
        <v>-116.44</v>
      </c>
      <c r="V49" s="7" t="n">
        <v>73.81</v>
      </c>
      <c r="W49" s="7" t="n">
        <v>39.67</v>
      </c>
      <c r="X49" s="7" t="n">
        <v>-0.65</v>
      </c>
      <c r="Y49" s="7" t="n">
        <v>59.12</v>
      </c>
      <c r="Z49" s="7" t="n">
        <v>1.45</v>
      </c>
      <c r="AA49" s="7" t="n">
        <v>-17.6</v>
      </c>
      <c r="AB49" s="9" t="n">
        <v>2.8</v>
      </c>
      <c r="AC49" s="7" t="n">
        <v/>
      </c>
      <c r="AD49" s="7" t="n">
        <v>5.6</v>
      </c>
      <c r="AE49" s="7" t="n">
        <v/>
      </c>
    </row>
    <row r="50">
      <c r="A50" s="2" t="n">
        <v>46100.55770833333</v>
      </c>
      <c r="B50" s="3" t="n">
        <v>85.23999999999999</v>
      </c>
      <c r="C50" s="3" t="n">
        <v>107.55</v>
      </c>
      <c r="D50" s="4" t="n">
        <v>1.26</v>
      </c>
      <c r="E50" s="3" t="n">
        <v>155.99</v>
      </c>
      <c r="F50" s="3" t="n">
        <v>184.02</v>
      </c>
      <c r="G50" s="3" t="n">
        <v/>
      </c>
      <c r="H50" s="3" t="n">
        <v/>
      </c>
      <c r="I50" s="3" t="n">
        <v>2.5</v>
      </c>
      <c r="J50" s="3" t="n">
        <v>0.36</v>
      </c>
      <c r="K50" s="3" t="n">
        <v>-2.14</v>
      </c>
      <c r="L50" s="3" t="n">
        <v>0.6899999999999999</v>
      </c>
      <c r="M50" s="5" t="n">
        <v>0.5</v>
      </c>
      <c r="N50" s="3" t="n">
        <v>18.3</v>
      </c>
      <c r="O50" s="3" t="n">
        <v>15.62</v>
      </c>
      <c r="P50" s="3" t="n">
        <v>17.88</v>
      </c>
      <c r="Q50" s="3" t="n">
        <v>2881.41</v>
      </c>
      <c r="R50" s="3" t="n">
        <v>-5.19</v>
      </c>
      <c r="S50" s="3" t="n">
        <v>-13.92</v>
      </c>
      <c r="T50" s="3" t="n">
        <v>-8.31</v>
      </c>
      <c r="U50" s="3" t="n">
        <v>-12.7</v>
      </c>
      <c r="V50" s="3" t="n">
        <v>53.79</v>
      </c>
      <c r="W50" s="3" t="n">
        <v>32.09</v>
      </c>
      <c r="X50" s="3" t="n">
        <v>2.67</v>
      </c>
      <c r="Y50" s="3" t="n">
        <v>66.76000000000001</v>
      </c>
      <c r="Z50" s="3" t="n">
        <v>1.43</v>
      </c>
      <c r="AA50" s="3" t="n">
        <v>-6.46</v>
      </c>
      <c r="AB50" s="5" t="n">
        <v>-0.55</v>
      </c>
      <c r="AC50" s="3" t="n">
        <v/>
      </c>
      <c r="AD50" s="3" t="n">
        <v>4.78</v>
      </c>
      <c r="AE50" s="3" t="n">
        <v/>
      </c>
    </row>
    <row r="51">
      <c r="A51" s="6" t="n">
        <v>46100.55803240741</v>
      </c>
      <c r="B51" s="7" t="n">
        <v>83.7</v>
      </c>
      <c r="C51" s="7" t="n">
        <v>116.64</v>
      </c>
      <c r="D51" s="8" t="n">
        <v>1.39</v>
      </c>
      <c r="E51" s="7" t="n">
        <v>176.39</v>
      </c>
      <c r="F51" s="7" t="n">
        <v>195.54</v>
      </c>
      <c r="G51" s="7" t="n">
        <v/>
      </c>
      <c r="H51" s="7" t="n">
        <v/>
      </c>
      <c r="I51" s="7" t="n">
        <v>2.3</v>
      </c>
      <c r="J51" s="7" t="n">
        <v>-1.76</v>
      </c>
      <c r="K51" s="7" t="n">
        <v>-4.06</v>
      </c>
      <c r="L51" s="7" t="n">
        <v>-1.15</v>
      </c>
      <c r="M51" s="9" t="n">
        <v>-0.5</v>
      </c>
      <c r="N51" s="7" t="n">
        <v>18.91</v>
      </c>
      <c r="O51" s="7" t="n">
        <v>16.12</v>
      </c>
      <c r="P51" s="7" t="n">
        <v>19.91</v>
      </c>
      <c r="Q51" s="7" t="n">
        <v>3299</v>
      </c>
      <c r="R51" s="7" t="n">
        <v>-9.41</v>
      </c>
      <c r="S51" s="7" t="n">
        <v>-34.62</v>
      </c>
      <c r="T51" s="7" t="n">
        <v>-45.19</v>
      </c>
      <c r="U51" s="7" t="n">
        <v>-54.69</v>
      </c>
      <c r="V51" s="7" t="n">
        <v>72.04000000000001</v>
      </c>
      <c r="W51" s="7" t="n">
        <v>37.68</v>
      </c>
      <c r="X51" s="7" t="n">
        <v>1.98</v>
      </c>
      <c r="Y51" s="7" t="n">
        <v>63.19</v>
      </c>
      <c r="Z51" s="7" t="n">
        <v>1.49</v>
      </c>
      <c r="AA51" s="7" t="n">
        <v>-11.3</v>
      </c>
      <c r="AB51" s="9" t="n">
        <v>0.67</v>
      </c>
      <c r="AC51" s="7" t="n">
        <v/>
      </c>
      <c r="AD51" s="7" t="n">
        <v>5.51</v>
      </c>
      <c r="AE51" s="7" t="n">
        <v/>
      </c>
    </row>
    <row r="52">
      <c r="A52" s="2" t="n">
        <v>46100.53270833333</v>
      </c>
      <c r="B52" s="3" t="n">
        <v>75.55</v>
      </c>
      <c r="C52" s="3" t="n">
        <v>99.72</v>
      </c>
      <c r="D52" s="4" t="n">
        <v>1.32</v>
      </c>
      <c r="E52" s="3" t="n">
        <v>136.55</v>
      </c>
      <c r="F52" s="3" t="n">
        <v>143.01</v>
      </c>
      <c r="G52" s="3" t="n">
        <v>1.33</v>
      </c>
      <c r="H52" s="3" t="n">
        <v>-6.14</v>
      </c>
      <c r="I52" s="3" t="n">
        <v>-0.2</v>
      </c>
      <c r="J52" s="3" t="n">
        <v>1.51</v>
      </c>
      <c r="K52" s="3" t="n">
        <v>1.71</v>
      </c>
      <c r="L52" s="3" t="n">
        <v>1.12</v>
      </c>
      <c r="M52" s="5" t="n">
        <v>-1</v>
      </c>
      <c r="N52" s="3" t="n">
        <v>27.16</v>
      </c>
      <c r="O52" s="3" t="n">
        <v>21.83</v>
      </c>
      <c r="P52" s="3" t="n">
        <v>28.36</v>
      </c>
      <c r="Q52" s="3" t="n">
        <v>5284.7</v>
      </c>
      <c r="R52" s="3" t="n">
        <v>3.18</v>
      </c>
      <c r="S52" s="3" t="n">
        <v>9.75</v>
      </c>
      <c r="T52" s="3" t="n">
        <v>17.76</v>
      </c>
      <c r="U52" s="3" t="n">
        <v>19.56</v>
      </c>
      <c r="V52" s="3" t="n">
        <v>77.19</v>
      </c>
      <c r="W52" s="3" t="n">
        <v>45.41</v>
      </c>
      <c r="X52" s="3" t="n">
        <v>-0.98</v>
      </c>
      <c r="Y52" s="3" t="n">
        <v>62.63</v>
      </c>
      <c r="Z52" s="3" t="n">
        <v>1.14</v>
      </c>
      <c r="AA52" s="3" t="n">
        <v>3.47</v>
      </c>
      <c r="AB52" s="5" t="n">
        <v>0.91</v>
      </c>
      <c r="AC52" s="3" t="n">
        <v/>
      </c>
      <c r="AD52" s="3" t="n">
        <v>5.39</v>
      </c>
      <c r="AE52" s="3" t="n">
        <v>67.45999999999999</v>
      </c>
    </row>
    <row r="53">
      <c r="A53" s="6" t="n">
        <v>46100.53319444445</v>
      </c>
      <c r="B53" s="7" t="n">
        <v>78.23999999999999</v>
      </c>
      <c r="C53" s="7" t="n">
        <v>101.66</v>
      </c>
      <c r="D53" s="8" t="n">
        <v>1.3</v>
      </c>
      <c r="E53" s="7" t="n">
        <v>142.79</v>
      </c>
      <c r="F53" s="7" t="n">
        <v>151.59</v>
      </c>
      <c r="G53" s="7" t="n">
        <v/>
      </c>
      <c r="H53" s="7" t="n">
        <v/>
      </c>
      <c r="I53" s="7" t="n">
        <v/>
      </c>
      <c r="J53" s="7" t="n">
        <v/>
      </c>
      <c r="K53" s="7" t="n">
        <v/>
      </c>
      <c r="L53" s="7" t="n">
        <v>-3.58</v>
      </c>
      <c r="M53" s="9" t="n">
        <v/>
      </c>
      <c r="N53" s="7" t="n">
        <v/>
      </c>
      <c r="O53" s="7" t="n">
        <v>21.06</v>
      </c>
      <c r="P53" s="7" t="n">
        <v/>
      </c>
      <c r="Q53" s="7" t="n">
        <v>4631</v>
      </c>
      <c r="R53" s="7" t="n">
        <v/>
      </c>
      <c r="S53" s="7" t="n">
        <v/>
      </c>
      <c r="T53" s="7" t="n">
        <v>-26.72</v>
      </c>
      <c r="U53" s="7" t="n">
        <v>-28.37</v>
      </c>
      <c r="V53" s="7" t="n">
        <v>76.42</v>
      </c>
      <c r="W53" s="7" t="n">
        <v>43.95</v>
      </c>
      <c r="X53" s="7" t="n">
        <v>0.51</v>
      </c>
      <c r="Y53" s="7" t="n">
        <v>62.76</v>
      </c>
      <c r="Z53" s="7" t="n">
        <v>1.2</v>
      </c>
      <c r="AA53" s="7" t="n">
        <v/>
      </c>
      <c r="AB53" s="9" t="n">
        <v/>
      </c>
      <c r="AC53" s="7" t="n">
        <v/>
      </c>
      <c r="AD53" s="7" t="n">
        <v>5.4</v>
      </c>
      <c r="AE53" s="7" t="n">
        <v/>
      </c>
    </row>
    <row r="54">
      <c r="A54" s="2" t="n">
        <v>46100.53394675926</v>
      </c>
      <c r="B54" s="3" t="n">
        <v>76.95999999999999</v>
      </c>
      <c r="C54" s="3" t="n">
        <v>98.29000000000001</v>
      </c>
      <c r="D54" s="4" t="n">
        <v>1.28</v>
      </c>
      <c r="E54" s="3" t="n">
        <v>139.58</v>
      </c>
      <c r="F54" s="3" t="n">
        <v>150.63</v>
      </c>
      <c r="G54" s="3" t="n">
        <v>9.42</v>
      </c>
      <c r="H54" s="3" t="n">
        <v>-5.25</v>
      </c>
      <c r="I54" s="3" t="n">
        <v>1.6</v>
      </c>
      <c r="J54" s="3" t="n">
        <v>0.2</v>
      </c>
      <c r="K54" s="3" t="n">
        <v>-1.4</v>
      </c>
      <c r="L54" s="3" t="n">
        <v>0.43</v>
      </c>
      <c r="M54" s="5" t="n">
        <v>-0.2</v>
      </c>
      <c r="N54" s="3" t="n">
        <v>26.34</v>
      </c>
      <c r="O54" s="3" t="n">
        <v>22.38</v>
      </c>
      <c r="P54" s="3" t="n">
        <v>26.75</v>
      </c>
      <c r="Q54" s="3" t="n">
        <v>3871.58</v>
      </c>
      <c r="R54" s="3" t="n">
        <v>-2.49</v>
      </c>
      <c r="S54" s="3" t="n">
        <v>-6.9</v>
      </c>
      <c r="T54" s="3" t="n">
        <v>-3.79</v>
      </c>
      <c r="U54" s="3" t="n">
        <v>-4.9</v>
      </c>
      <c r="V54" s="3" t="n">
        <v>74.14</v>
      </c>
      <c r="W54" s="3" t="n">
        <v>42.91</v>
      </c>
      <c r="X54" s="3" t="n">
        <v>1.34</v>
      </c>
      <c r="Y54" s="3" t="n">
        <v>66.36</v>
      </c>
      <c r="Z54" s="3" t="n">
        <v>1.18</v>
      </c>
      <c r="AA54" s="3" t="n">
        <v>-2.71</v>
      </c>
      <c r="AB54" s="5" t="n">
        <v>0.2</v>
      </c>
      <c r="AC54" s="3" t="n">
        <v/>
      </c>
      <c r="AD54" s="3" t="n">
        <v>5.25</v>
      </c>
      <c r="AE54" s="3" t="n">
        <v>68.28</v>
      </c>
    </row>
    <row r="55">
      <c r="A55" s="6" t="n">
        <v>46100.53479166667</v>
      </c>
      <c r="B55" s="7" t="n">
        <v>76.41</v>
      </c>
      <c r="C55" s="7" t="n">
        <v>98.18000000000001</v>
      </c>
      <c r="D55" s="8" t="n">
        <v>1.28</v>
      </c>
      <c r="E55" s="7" t="n">
        <v>138.67</v>
      </c>
      <c r="F55" s="7" t="n">
        <v>152.08</v>
      </c>
      <c r="G55" s="7" t="n">
        <v>8.960000000000001</v>
      </c>
      <c r="H55" s="7" t="n">
        <v>-12.17</v>
      </c>
      <c r="I55" s="7" t="n">
        <v>0.4</v>
      </c>
      <c r="J55" s="7" t="n">
        <v>-2.79</v>
      </c>
      <c r="K55" s="7" t="n">
        <v>-3.19</v>
      </c>
      <c r="L55" s="7" t="n">
        <v>-2.26</v>
      </c>
      <c r="M55" s="9" t="n">
        <v>-1.2</v>
      </c>
      <c r="N55" s="7" t="n">
        <v>24.89</v>
      </c>
      <c r="O55" s="7" t="n">
        <v>20.98</v>
      </c>
      <c r="P55" s="7" t="n">
        <v>26.29</v>
      </c>
      <c r="Q55" s="7" t="n">
        <v>3844.37</v>
      </c>
      <c r="R55" s="7" t="n">
        <v>-5.92</v>
      </c>
      <c r="S55" s="7" t="n">
        <v>-15.9</v>
      </c>
      <c r="T55" s="7" t="n">
        <v>-32.31</v>
      </c>
      <c r="U55" s="7" t="n">
        <v>-37.58</v>
      </c>
      <c r="V55" s="7" t="n">
        <v>67.93000000000001</v>
      </c>
      <c r="W55" s="7" t="n">
        <v>40.76</v>
      </c>
      <c r="X55" s="7" t="n">
        <v>-0.19</v>
      </c>
      <c r="Y55" s="7" t="n">
        <v>66.72</v>
      </c>
      <c r="Z55" s="7" t="n">
        <v>1.19</v>
      </c>
      <c r="AA55" s="7" t="n">
        <v>-6.53</v>
      </c>
      <c r="AB55" s="9" t="n">
        <v>0.98</v>
      </c>
      <c r="AC55" s="7" t="n">
        <v/>
      </c>
      <c r="AD55" s="7" t="n">
        <v>5.08</v>
      </c>
      <c r="AE55" s="7" t="n">
        <v>66.86</v>
      </c>
    </row>
    <row r="56">
      <c r="A56" s="2" t="n">
        <v>46100.53291666666</v>
      </c>
      <c r="B56" s="3" t="n">
        <v>75.90000000000001</v>
      </c>
      <c r="C56" s="3" t="n">
        <v>96.65000000000001</v>
      </c>
      <c r="D56" s="4" t="n">
        <v>1.27</v>
      </c>
      <c r="E56" s="3" t="n">
        <v>133.09</v>
      </c>
      <c r="F56" s="3" t="n">
        <v>140.42</v>
      </c>
      <c r="G56" s="3" t="n">
        <v>0.75</v>
      </c>
      <c r="H56" s="3" t="n">
        <v>-11.31</v>
      </c>
      <c r="I56" s="3" t="n">
        <v>2.2</v>
      </c>
      <c r="J56" s="3" t="n">
        <v>3.13</v>
      </c>
      <c r="K56" s="3" t="n">
        <v>0.9399999999999999</v>
      </c>
      <c r="L56" s="3" t="n">
        <v>2.95</v>
      </c>
      <c r="M56" s="5" t="n">
        <v>0.2</v>
      </c>
      <c r="N56" s="3" t="n">
        <v>28.36</v>
      </c>
      <c r="O56" s="3" t="n">
        <v>23.45</v>
      </c>
      <c r="P56" s="3" t="n">
        <v>28.18</v>
      </c>
      <c r="Q56" s="3" t="n">
        <v>4716.47</v>
      </c>
      <c r="R56" s="3" t="n">
        <v>1.66</v>
      </c>
      <c r="S56" s="3" t="n">
        <v>4.67</v>
      </c>
      <c r="T56" s="3" t="n">
        <v>25.18</v>
      </c>
      <c r="U56" s="3" t="n">
        <v>27.06</v>
      </c>
      <c r="V56" s="3" t="n">
        <v>77.09999999999999</v>
      </c>
      <c r="W56" s="3" t="n">
        <v>45.44</v>
      </c>
      <c r="X56" s="3" t="n">
        <v>2.22</v>
      </c>
      <c r="Y56" s="3" t="n">
        <v>64.41</v>
      </c>
      <c r="Z56" s="3" t="n">
        <v>1.15</v>
      </c>
      <c r="AA56" s="3" t="n">
        <v>1.78</v>
      </c>
      <c r="AB56" s="5" t="n">
        <v>-0.31</v>
      </c>
      <c r="AC56" s="3" t="n">
        <v/>
      </c>
      <c r="AD56" s="3" t="n">
        <v>5.31</v>
      </c>
      <c r="AE56" s="3" t="n">
        <v>66.59999999999999</v>
      </c>
    </row>
    <row r="57">
      <c r="A57" s="6" t="n">
        <v>46100.53342592593</v>
      </c>
      <c r="B57" s="7" t="n">
        <v>76.64</v>
      </c>
      <c r="C57" s="7" t="n">
        <v>96.34</v>
      </c>
      <c r="D57" s="8" t="n">
        <v>1.26</v>
      </c>
      <c r="E57" s="7" t="n">
        <v>134.86</v>
      </c>
      <c r="F57" s="7" t="n">
        <v>149.91</v>
      </c>
      <c r="G57" s="7" t="n">
        <v>5.64</v>
      </c>
      <c r="H57" s="7" t="n">
        <v>-13.09</v>
      </c>
      <c r="I57" s="7" t="n">
        <v>2</v>
      </c>
      <c r="J57" s="7" t="n">
        <v>-0.83</v>
      </c>
      <c r="K57" s="7" t="n">
        <v>-2.83</v>
      </c>
      <c r="L57" s="7" t="n">
        <v>-0.33</v>
      </c>
      <c r="M57" s="9" t="n">
        <v>-0.4</v>
      </c>
      <c r="N57" s="7" t="n">
        <v>24.6</v>
      </c>
      <c r="O57" s="7" t="n">
        <v>20.7</v>
      </c>
      <c r="P57" s="7" t="n">
        <v>25.33</v>
      </c>
      <c r="Q57" s="7" t="n">
        <v>3757.17</v>
      </c>
      <c r="R57" s="7" t="n">
        <v>-5.63</v>
      </c>
      <c r="S57" s="7" t="n">
        <v>-14.13</v>
      </c>
      <c r="T57" s="7" t="n">
        <v>-16.46</v>
      </c>
      <c r="U57" s="7" t="n">
        <v>-20.42</v>
      </c>
      <c r="V57" s="7" t="n">
        <v>63.56</v>
      </c>
      <c r="W57" s="7" t="n">
        <v>39.5</v>
      </c>
      <c r="X57" s="7" t="n">
        <v>1.79</v>
      </c>
      <c r="Y57" s="7" t="n">
        <v>66.89</v>
      </c>
      <c r="Z57" s="7" t="n">
        <v>1.17</v>
      </c>
      <c r="AA57" s="7" t="n">
        <v>-6.21</v>
      </c>
      <c r="AB57" s="9" t="n">
        <v>0.35</v>
      </c>
      <c r="AC57" s="7" t="n">
        <v/>
      </c>
      <c r="AD57" s="7" t="n">
        <v>4.92</v>
      </c>
      <c r="AE57" s="7" t="n">
        <v>65.18000000000001</v>
      </c>
    </row>
    <row r="58">
      <c r="A58" s="2" t="n">
        <v>46100.53457175926</v>
      </c>
      <c r="B58" s="3" t="n">
        <v>77.33</v>
      </c>
      <c r="C58" s="3" t="n">
        <v>88.84</v>
      </c>
      <c r="D58" s="4" t="n">
        <v>1.15</v>
      </c>
      <c r="E58" s="3" t="n">
        <v>121.22</v>
      </c>
      <c r="F58" s="3" t="n">
        <v>138.79</v>
      </c>
      <c r="G58" s="3" t="n">
        <v>10.88</v>
      </c>
      <c r="H58" s="3" t="n">
        <v>-5.51</v>
      </c>
      <c r="I58" s="3" t="n">
        <v>2.6</v>
      </c>
      <c r="J58" s="3" t="n">
        <v>3.97</v>
      </c>
      <c r="K58" s="3" t="n">
        <v>1.37</v>
      </c>
      <c r="L58" s="3" t="n">
        <v>3.74</v>
      </c>
      <c r="M58" s="5" t="n">
        <v>0.4</v>
      </c>
      <c r="N58" s="3" t="n">
        <v>26.04</v>
      </c>
      <c r="O58" s="3" t="n">
        <v>22.31</v>
      </c>
      <c r="P58" s="3" t="n">
        <v>25.68</v>
      </c>
      <c r="Q58" s="3" t="n">
        <v>3295.33</v>
      </c>
      <c r="R58" s="3" t="n">
        <v>2.72</v>
      </c>
      <c r="S58" s="3" t="n">
        <v>5.32</v>
      </c>
      <c r="T58" s="3" t="n">
        <v>29.01</v>
      </c>
      <c r="U58" s="3" t="n">
        <v>34.18</v>
      </c>
      <c r="V58" s="3" t="n">
        <v>56.79</v>
      </c>
      <c r="W58" s="3" t="n">
        <v>38.21</v>
      </c>
      <c r="X58" s="3" t="n">
        <v>2.64</v>
      </c>
      <c r="Y58" s="3" t="n">
        <v>68.8</v>
      </c>
      <c r="Z58" s="3" t="n">
        <v>1.18</v>
      </c>
      <c r="AA58" s="3" t="n">
        <v>2.96</v>
      </c>
      <c r="AB58" s="5" t="n">
        <v>-0.51</v>
      </c>
      <c r="AC58" s="3" t="n">
        <v/>
      </c>
      <c r="AD58" s="3" t="n">
        <v>4.56</v>
      </c>
      <c r="AE58" s="3" t="n">
        <v>65.37</v>
      </c>
    </row>
    <row r="59">
      <c r="A59" s="6" t="n">
        <v>46100.53368055556</v>
      </c>
      <c r="B59" s="7" t="n">
        <v>76.37</v>
      </c>
      <c r="C59" s="7" t="n">
        <v>98.06</v>
      </c>
      <c r="D59" s="8" t="n">
        <v>1.28</v>
      </c>
      <c r="E59" s="7" t="n">
        <v>137</v>
      </c>
      <c r="F59" s="7" t="n">
        <v>145.27</v>
      </c>
      <c r="G59" s="7" t="n">
        <v>5.54</v>
      </c>
      <c r="H59" s="7" t="n">
        <v>-11.34</v>
      </c>
      <c r="I59" s="7" t="n">
        <v>0</v>
      </c>
      <c r="J59" s="7" t="n">
        <v>0.1</v>
      </c>
      <c r="K59" s="7" t="n">
        <v>0.1</v>
      </c>
      <c r="L59" s="7" t="n">
        <v>0.08</v>
      </c>
      <c r="M59" s="9" t="n">
        <v>-0.6</v>
      </c>
      <c r="N59" s="7" t="n">
        <v>27.56</v>
      </c>
      <c r="O59" s="7" t="n">
        <v>23.02</v>
      </c>
      <c r="P59" s="7" t="n">
        <v>28.28</v>
      </c>
      <c r="Q59" s="7" t="n">
        <v>4418.87</v>
      </c>
      <c r="R59" s="7" t="n">
        <v>0.28</v>
      </c>
      <c r="S59" s="7" t="n">
        <v>0.8100000000000001</v>
      </c>
      <c r="T59" s="7" t="n">
        <v>1.36</v>
      </c>
      <c r="U59" s="7" t="n">
        <v>1.52</v>
      </c>
      <c r="V59" s="7" t="n">
        <v>77.5</v>
      </c>
      <c r="W59" s="7" t="n">
        <v>44.84</v>
      </c>
      <c r="X59" s="7" t="n">
        <v>-0.49</v>
      </c>
      <c r="Y59" s="7" t="n">
        <v>62.5</v>
      </c>
      <c r="Z59" s="7" t="n">
        <v>1.17</v>
      </c>
      <c r="AA59" s="7" t="n">
        <v>0.3</v>
      </c>
      <c r="AB59" s="9" t="n">
        <v>0.55</v>
      </c>
      <c r="AC59" s="7" t="n">
        <v/>
      </c>
      <c r="AD59" s="7" t="n">
        <v>5.35</v>
      </c>
      <c r="AE59" s="7" t="n">
        <v>66.36</v>
      </c>
    </row>
    <row r="60">
      <c r="A60" s="2" t="n">
        <v>46100.53436342593</v>
      </c>
      <c r="B60" s="3" t="n">
        <v>75.78</v>
      </c>
      <c r="C60" s="3" t="n">
        <v>96.56999999999999</v>
      </c>
      <c r="D60" s="4" t="n">
        <v>1.27</v>
      </c>
      <c r="E60" s="3" t="n">
        <v>134.69</v>
      </c>
      <c r="F60" s="3" t="n">
        <v>146.62</v>
      </c>
      <c r="G60" s="3" t="n">
        <v>8.359999999999999</v>
      </c>
      <c r="H60" s="3" t="n">
        <v>-8.609999999999999</v>
      </c>
      <c r="I60" s="3" t="n">
        <v>0</v>
      </c>
      <c r="J60" s="3" t="n">
        <v>-0.04</v>
      </c>
      <c r="K60" s="3" t="n">
        <v>-0.04</v>
      </c>
      <c r="L60" s="3" t="n">
        <v>-0.01</v>
      </c>
      <c r="M60" s="5" t="n">
        <v>-1</v>
      </c>
      <c r="N60" s="3" t="n">
        <v>25.76</v>
      </c>
      <c r="O60" s="3" t="n">
        <v>21.45</v>
      </c>
      <c r="P60" s="3" t="n">
        <v>26.88</v>
      </c>
      <c r="Q60" s="3" t="n">
        <v>4131</v>
      </c>
      <c r="R60" s="3" t="n">
        <v>-0.24</v>
      </c>
      <c r="S60" s="3" t="n">
        <v>-0.65</v>
      </c>
      <c r="T60" s="3" t="n">
        <v>-0.74</v>
      </c>
      <c r="U60" s="3" t="n">
        <v>-0.89</v>
      </c>
      <c r="V60" s="3" t="n">
        <v>68</v>
      </c>
      <c r="W60" s="3" t="n">
        <v>41.59</v>
      </c>
      <c r="X60" s="3" t="n">
        <v>-0.41</v>
      </c>
      <c r="Y60" s="3" t="n">
        <v>68.23</v>
      </c>
      <c r="Z60" s="3" t="n">
        <v>1.13</v>
      </c>
      <c r="AA60" s="3" t="n">
        <v>-0.27</v>
      </c>
      <c r="AB60" s="5" t="n">
        <v>0.83</v>
      </c>
      <c r="AC60" s="3" t="n">
        <v/>
      </c>
      <c r="AD60" s="3" t="n">
        <v>5.07</v>
      </c>
      <c r="AE60" s="3" t="n">
        <v>69</v>
      </c>
    </row>
    <row r="61">
      <c r="A61" s="6" t="n">
        <v>46100.53505787037</v>
      </c>
      <c r="B61" s="7" t="n">
        <v>75.92</v>
      </c>
      <c r="C61" s="7" t="n">
        <v>94.8</v>
      </c>
      <c r="D61" s="8" t="n">
        <v>1.25</v>
      </c>
      <c r="E61" s="7" t="n">
        <v>132.18</v>
      </c>
      <c r="F61" s="7" t="n">
        <v>148.7</v>
      </c>
      <c r="G61" s="7" t="n">
        <v>8.6</v>
      </c>
      <c r="H61" s="7" t="n">
        <v>-12.52</v>
      </c>
      <c r="I61" s="7" t="n">
        <v>0.6</v>
      </c>
      <c r="J61" s="7" t="n">
        <v>-1.47</v>
      </c>
      <c r="K61" s="7" t="n">
        <v>-2.07</v>
      </c>
      <c r="L61" s="7" t="n">
        <v>-1.11</v>
      </c>
      <c r="M61" s="9" t="n">
        <v>-0.6</v>
      </c>
      <c r="N61" s="7" t="n">
        <v>24.55</v>
      </c>
      <c r="O61" s="7" t="n">
        <v>20.75</v>
      </c>
      <c r="P61" s="7" t="n">
        <v>25.28</v>
      </c>
      <c r="Q61" s="7" t="n">
        <v>3586.28</v>
      </c>
      <c r="R61" s="7" t="n">
        <v>-4.13</v>
      </c>
      <c r="S61" s="7" t="n">
        <v>-9.77</v>
      </c>
      <c r="T61" s="7" t="n">
        <v>-17.45</v>
      </c>
      <c r="U61" s="7" t="n">
        <v>-21.22</v>
      </c>
      <c r="V61" s="7" t="n">
        <v>60.99</v>
      </c>
      <c r="W61" s="7" t="n">
        <v>38.67</v>
      </c>
      <c r="X61" s="7" t="n">
        <v>0.38</v>
      </c>
      <c r="Y61" s="7" t="n">
        <v>69.83</v>
      </c>
      <c r="Z61" s="7" t="n">
        <v>1.19</v>
      </c>
      <c r="AA61" s="7" t="n">
        <v>-4.56</v>
      </c>
      <c r="AB61" s="9" t="n">
        <v>0.43</v>
      </c>
      <c r="AC61" s="7" t="n">
        <v/>
      </c>
      <c r="AD61" s="7" t="n">
        <v>4.81</v>
      </c>
      <c r="AE61" s="7" t="n">
        <v>67.5</v>
      </c>
    </row>
    <row r="62">
      <c r="A62" s="2" t="n">
        <v>46100.53532407407</v>
      </c>
      <c r="B62" s="3" t="n">
        <v>76.98999999999999</v>
      </c>
      <c r="C62" s="3" t="n">
        <v>93.43000000000001</v>
      </c>
      <c r="D62" s="4" t="n">
        <v>1.21</v>
      </c>
      <c r="E62" s="3" t="n">
        <v>130.55</v>
      </c>
      <c r="F62" s="3" t="n">
        <v>150.56</v>
      </c>
      <c r="G62" s="3" t="n">
        <v>7.7</v>
      </c>
      <c r="H62" s="3" t="n">
        <v>-13.61</v>
      </c>
      <c r="I62" s="3" t="n">
        <v>0.4</v>
      </c>
      <c r="J62" s="3" t="n">
        <v>-2.39</v>
      </c>
      <c r="K62" s="3" t="n">
        <v>-2.79</v>
      </c>
      <c r="L62" s="3" t="n">
        <v>-1.95</v>
      </c>
      <c r="M62" s="5" t="n">
        <v>0.2</v>
      </c>
      <c r="N62" s="3" t="n">
        <v>24.14</v>
      </c>
      <c r="O62" s="3" t="n">
        <v>20.82</v>
      </c>
      <c r="P62" s="3" t="n">
        <v>24.11</v>
      </c>
      <c r="Q62" s="3" t="n">
        <v>3102.46</v>
      </c>
      <c r="R62" s="3" t="n">
        <v>-5.79</v>
      </c>
      <c r="S62" s="3" t="n">
        <v>-12.41</v>
      </c>
      <c r="T62" s="3" t="n">
        <v>-25.76</v>
      </c>
      <c r="U62" s="3" t="n">
        <v>-31.98</v>
      </c>
      <c r="V62" s="3" t="n">
        <v>57.57</v>
      </c>
      <c r="W62" s="3" t="n">
        <v>36.96</v>
      </c>
      <c r="X62" s="3" t="n">
        <v>0.48</v>
      </c>
      <c r="Y62" s="3" t="n">
        <v>69.75</v>
      </c>
      <c r="Z62" s="3" t="n">
        <v>1.17</v>
      </c>
      <c r="AA62" s="3" t="n">
        <v>-6.38</v>
      </c>
      <c r="AB62" s="5" t="n">
        <v>-0.31</v>
      </c>
      <c r="AC62" s="3" t="n">
        <v/>
      </c>
      <c r="AD62" s="3" t="n">
        <v>4.65</v>
      </c>
      <c r="AE62" s="3" t="n">
        <v>68.06</v>
      </c>
    </row>
    <row r="63">
      <c r="A63" s="6" t="n">
        <v>46100.53548611111</v>
      </c>
      <c r="B63" s="7" t="n">
        <v>77.38</v>
      </c>
      <c r="C63" s="7" t="n">
        <v>97.81999999999999</v>
      </c>
      <c r="D63" s="8" t="n">
        <v>1.26</v>
      </c>
      <c r="E63" s="7" t="n">
        <v>138.63</v>
      </c>
      <c r="F63" s="7" t="n">
        <v>150.33</v>
      </c>
      <c r="G63" s="7" t="n">
        <v>5.7</v>
      </c>
      <c r="H63" s="7" t="n">
        <v>-9.699999999999999</v>
      </c>
      <c r="I63" s="7" t="n">
        <v>2.4</v>
      </c>
      <c r="J63" s="7" t="n">
        <v>0.15</v>
      </c>
      <c r="K63" s="7" t="n">
        <v>-2.25</v>
      </c>
      <c r="L63" s="7" t="n">
        <v>0.54</v>
      </c>
      <c r="M63" s="9" t="n">
        <v>0</v>
      </c>
      <c r="N63" s="7" t="n">
        <v>26.11</v>
      </c>
      <c r="O63" s="7" t="n">
        <v>22.17</v>
      </c>
      <c r="P63" s="7" t="n">
        <v>26.34</v>
      </c>
      <c r="Q63" s="7" t="n">
        <v>3839</v>
      </c>
      <c r="R63" s="7" t="n">
        <v>-4.34</v>
      </c>
      <c r="S63" s="7" t="n">
        <v>-11.78</v>
      </c>
      <c r="T63" s="7" t="n">
        <v>-7.85</v>
      </c>
      <c r="U63" s="7" t="n">
        <v>-9.949999999999999</v>
      </c>
      <c r="V63" s="7" t="n">
        <v>72.29000000000001</v>
      </c>
      <c r="W63" s="7" t="n">
        <v>42.35</v>
      </c>
      <c r="X63" s="7" t="n">
        <v>2.38</v>
      </c>
      <c r="Y63" s="7" t="n">
        <v>67.31999999999999</v>
      </c>
      <c r="Z63" s="7" t="n">
        <v>1.19</v>
      </c>
      <c r="AA63" s="7" t="n">
        <v>-4.72</v>
      </c>
      <c r="AB63" s="9" t="n">
        <v>-0.04</v>
      </c>
      <c r="AC63" s="7" t="n">
        <v/>
      </c>
      <c r="AD63" s="7" t="n">
        <v>5.19</v>
      </c>
      <c r="AE63" s="7" t="n">
        <v>66.90000000000001</v>
      </c>
    </row>
    <row r="64">
      <c r="A64" s="2" t="n">
        <v>46100.5283449074</v>
      </c>
      <c r="B64" s="3" t="n">
        <v>71</v>
      </c>
      <c r="C64" s="3" t="n">
        <v>93.51000000000001</v>
      </c>
      <c r="D64" s="4" t="n">
        <v>1.32</v>
      </c>
      <c r="E64" s="3" t="n">
        <v>128.95</v>
      </c>
      <c r="F64" s="3" t="n">
        <v>142.82</v>
      </c>
      <c r="G64" s="3" t="n">
        <v>8.699999999999999</v>
      </c>
      <c r="H64" s="3" t="n">
        <v>-2.51</v>
      </c>
      <c r="I64" s="3" t="n">
        <v>1.6</v>
      </c>
      <c r="J64" s="3" t="n">
        <v>-2.39</v>
      </c>
      <c r="K64" s="3" t="n">
        <v>-3.99</v>
      </c>
      <c r="L64" s="3" t="n">
        <v>-1.69</v>
      </c>
      <c r="M64" s="5" t="n">
        <v>0</v>
      </c>
      <c r="N64" s="3" t="n">
        <v>25.84</v>
      </c>
      <c r="O64" s="3" t="n">
        <v>21.69</v>
      </c>
      <c r="P64" s="3" t="n">
        <v>26.25</v>
      </c>
      <c r="Q64" s="3" t="n">
        <v>3902.5</v>
      </c>
      <c r="R64" s="3" t="n">
        <v>-7.28</v>
      </c>
      <c r="S64" s="3" t="n">
        <v>-17.22</v>
      </c>
      <c r="T64" s="3" t="n">
        <v>-28.61</v>
      </c>
      <c r="U64" s="3" t="n">
        <v>-34.29</v>
      </c>
      <c r="V64" s="3" t="n">
        <v>62.93</v>
      </c>
      <c r="W64" s="3" t="n">
        <v>40.16</v>
      </c>
      <c r="X64" s="3" t="n">
        <v>1.4</v>
      </c>
      <c r="Y64" s="3" t="n">
        <v>68.01000000000001</v>
      </c>
      <c r="Z64" s="3" t="n">
        <v>1.15</v>
      </c>
      <c r="AA64" s="3" t="n">
        <v>-7.95</v>
      </c>
      <c r="AB64" s="5" t="n">
        <v>-0.04</v>
      </c>
      <c r="AC64" s="3" t="n">
        <v/>
      </c>
      <c r="AD64" s="3" t="n">
        <v>4.86</v>
      </c>
      <c r="AE64" s="3" t="n">
        <v>66.45</v>
      </c>
    </row>
    <row r="65">
      <c r="A65" s="6" t="n">
        <v>46100.52850694444</v>
      </c>
      <c r="B65" s="7" t="n">
        <v>73.70999999999999</v>
      </c>
      <c r="C65" s="7" t="n">
        <v>99.88</v>
      </c>
      <c r="D65" s="8" t="n">
        <v>1.35</v>
      </c>
      <c r="E65" s="7" t="n">
        <v>140.95</v>
      </c>
      <c r="F65" s="7" t="n">
        <v>153.53</v>
      </c>
      <c r="G65" s="7" t="n">
        <v>5.44</v>
      </c>
      <c r="H65" s="7" t="n">
        <v>-5.55</v>
      </c>
      <c r="I65" s="7" t="n">
        <v>1.4</v>
      </c>
      <c r="J65" s="7" t="n">
        <v>-3.44</v>
      </c>
      <c r="K65" s="7" t="n">
        <v>-4.84</v>
      </c>
      <c r="L65" s="7" t="n">
        <v>-2.59</v>
      </c>
      <c r="M65" s="9" t="n">
        <v>-0.8</v>
      </c>
      <c r="N65" s="7" t="n">
        <v>24.71</v>
      </c>
      <c r="O65" s="7" t="n">
        <v>20.68</v>
      </c>
      <c r="P65" s="7" t="n">
        <v>26.03</v>
      </c>
      <c r="Q65" s="7" t="n">
        <v>4069</v>
      </c>
      <c r="R65" s="7" t="n">
        <v>-9.24</v>
      </c>
      <c r="S65" s="7" t="n">
        <v>-26.17</v>
      </c>
      <c r="T65" s="7" t="n">
        <v>-45.19</v>
      </c>
      <c r="U65" s="7" t="n">
        <v>-52.59</v>
      </c>
      <c r="V65" s="7" t="n">
        <v>69.66</v>
      </c>
      <c r="W65" s="7" t="n">
        <v>41.26</v>
      </c>
      <c r="X65" s="7" t="n">
        <v>1.09</v>
      </c>
      <c r="Y65" s="7" t="n">
        <v>70.20999999999999</v>
      </c>
      <c r="Z65" s="7" t="n">
        <v>1.17</v>
      </c>
      <c r="AA65" s="7" t="n">
        <v>-10.17</v>
      </c>
      <c r="AB65" s="9" t="n">
        <v>0.63</v>
      </c>
      <c r="AC65" s="7" t="n">
        <v/>
      </c>
      <c r="AD65" s="7" t="n">
        <v>5.17</v>
      </c>
      <c r="AE65" s="7" t="n">
        <v>68.41</v>
      </c>
    </row>
    <row r="66">
      <c r="A66" s="2" t="n">
        <v>46100.52979166667</v>
      </c>
      <c r="B66" s="3" t="n">
        <v>75.34</v>
      </c>
      <c r="C66" s="3" t="n">
        <v>98.86</v>
      </c>
      <c r="D66" s="4" t="n">
        <v>1.31</v>
      </c>
      <c r="E66" s="3" t="n">
        <v>138.8</v>
      </c>
      <c r="F66" s="3" t="n">
        <v>150.93</v>
      </c>
      <c r="G66" s="3" t="n">
        <v>6.62</v>
      </c>
      <c r="H66" s="3" t="n">
        <v>1.86</v>
      </c>
      <c r="I66" s="3" t="n">
        <v>1</v>
      </c>
      <c r="J66" s="3" t="n">
        <v>-3.04</v>
      </c>
      <c r="K66" s="3" t="n">
        <v>-4.04</v>
      </c>
      <c r="L66" s="3" t="n">
        <v>-2.31</v>
      </c>
      <c r="M66" s="5" t="n">
        <v>-0.2</v>
      </c>
      <c r="N66" s="3" t="n">
        <v>25.09</v>
      </c>
      <c r="O66" s="3" t="n">
        <v>20.92</v>
      </c>
      <c r="P66" s="3" t="n">
        <v>25.61</v>
      </c>
      <c r="Q66" s="3" t="n">
        <v>4149</v>
      </c>
      <c r="R66" s="3" t="n">
        <v>-7.67</v>
      </c>
      <c r="S66" s="3" t="n">
        <v>-21.34</v>
      </c>
      <c r="T66" s="3" t="n">
        <v>-38.11</v>
      </c>
      <c r="U66" s="3" t="n">
        <v>-44.19</v>
      </c>
      <c r="V66" s="3" t="n">
        <v>69.31</v>
      </c>
      <c r="W66" s="3" t="n">
        <v>41.5</v>
      </c>
      <c r="X66" s="3" t="n">
        <v>0.82</v>
      </c>
      <c r="Y66" s="3" t="n">
        <v>68.47</v>
      </c>
      <c r="Z66" s="3" t="n">
        <v>1.21</v>
      </c>
      <c r="AA66" s="3" t="n">
        <v>-8.41</v>
      </c>
      <c r="AB66" s="5" t="n">
        <v>0.04</v>
      </c>
      <c r="AC66" s="3" t="n">
        <v/>
      </c>
      <c r="AD66" s="3" t="n">
        <v>5.14</v>
      </c>
      <c r="AE66" s="3" t="n">
        <v>67.59</v>
      </c>
    </row>
    <row r="67">
      <c r="A67" s="6" t="n">
        <v>46100.52864583334</v>
      </c>
      <c r="B67" s="7" t="n">
        <v>74.95999999999999</v>
      </c>
      <c r="C67" s="7" t="n">
        <v>101.58</v>
      </c>
      <c r="D67" s="8" t="n">
        <v>1.36</v>
      </c>
      <c r="E67" s="7" t="n">
        <v>140.91</v>
      </c>
      <c r="F67" s="7" t="n">
        <v>150.38</v>
      </c>
      <c r="G67" s="7" t="n">
        <v>1.27</v>
      </c>
      <c r="H67" s="7" t="n">
        <v>4.09</v>
      </c>
      <c r="I67" s="7" t="n">
        <v>-0.4</v>
      </c>
      <c r="J67" s="7" t="n">
        <v>-5.78</v>
      </c>
      <c r="K67" s="7" t="n">
        <v>-5.38</v>
      </c>
      <c r="L67" s="7" t="n">
        <v>-4.71</v>
      </c>
      <c r="M67" s="9" t="n">
        <v>-1</v>
      </c>
      <c r="N67" s="7" t="n">
        <v>25.06</v>
      </c>
      <c r="O67" s="7" t="n">
        <v>20.29</v>
      </c>
      <c r="P67" s="7" t="n">
        <v>26.66</v>
      </c>
      <c r="Q67" s="7" t="n">
        <v>4901.08</v>
      </c>
      <c r="R67" s="7" t="n">
        <v>-9.76</v>
      </c>
      <c r="S67" s="7" t="n">
        <v>-30.07</v>
      </c>
      <c r="T67" s="7" t="n">
        <v>-64.61</v>
      </c>
      <c r="U67" s="7" t="n">
        <v>-72.40000000000001</v>
      </c>
      <c r="V67" s="7" t="n">
        <v>72.63</v>
      </c>
      <c r="W67" s="7" t="n">
        <v>43.01</v>
      </c>
      <c r="X67" s="7" t="n">
        <v>-1.08</v>
      </c>
      <c r="Y67" s="7" t="n">
        <v>63.7</v>
      </c>
      <c r="Z67" s="7" t="n">
        <v>1.16</v>
      </c>
      <c r="AA67" s="7" t="n">
        <v>-10.75</v>
      </c>
      <c r="AB67" s="9" t="n">
        <v>0.87</v>
      </c>
      <c r="AC67" s="7" t="n">
        <v/>
      </c>
      <c r="AD67" s="7" t="n">
        <v>5.3</v>
      </c>
      <c r="AE67" s="7" t="n">
        <v>68.73999999999999</v>
      </c>
    </row>
    <row r="68">
      <c r="A68" s="2" t="n">
        <v>46100.52994212963</v>
      </c>
      <c r="B68" s="3" t="n">
        <v>76.36</v>
      </c>
      <c r="C68" s="3" t="n">
        <v>98.81</v>
      </c>
      <c r="D68" s="4" t="n">
        <v>1.29</v>
      </c>
      <c r="E68" s="3" t="n">
        <v>138.6</v>
      </c>
      <c r="F68" s="3" t="n">
        <v>146.54</v>
      </c>
      <c r="G68" s="3" t="n">
        <v>5.52</v>
      </c>
      <c r="H68" s="3" t="n">
        <v>-1.17</v>
      </c>
      <c r="I68" s="3" t="n">
        <v>0</v>
      </c>
      <c r="J68" s="3" t="n">
        <v>1.74</v>
      </c>
      <c r="K68" s="3" t="n">
        <v>1.74</v>
      </c>
      <c r="L68" s="3" t="n">
        <v>1.41</v>
      </c>
      <c r="M68" s="5" t="n">
        <v>0.6</v>
      </c>
      <c r="N68" s="3" t="n">
        <v>27.73</v>
      </c>
      <c r="O68" s="3" t="n">
        <v>23.28</v>
      </c>
      <c r="P68" s="3" t="n">
        <v>27.17</v>
      </c>
      <c r="Q68" s="3" t="n">
        <v>4381.39</v>
      </c>
      <c r="R68" s="3" t="n">
        <v>3.16</v>
      </c>
      <c r="S68" s="3" t="n">
        <v>9.25</v>
      </c>
      <c r="T68" s="3" t="n">
        <v>19.51</v>
      </c>
      <c r="U68" s="3" t="n">
        <v>21.57</v>
      </c>
      <c r="V68" s="3" t="n">
        <v>79.78</v>
      </c>
      <c r="W68" s="3" t="n">
        <v>45.32</v>
      </c>
      <c r="X68" s="3" t="n">
        <v>0.23</v>
      </c>
      <c r="Y68" s="3" t="n">
        <v>63.44</v>
      </c>
      <c r="Z68" s="3" t="n">
        <v>1.12</v>
      </c>
      <c r="AA68" s="3" t="n">
        <v>3.41</v>
      </c>
      <c r="AB68" s="5" t="n">
        <v>-0.71</v>
      </c>
      <c r="AC68" s="3" t="n">
        <v/>
      </c>
      <c r="AD68" s="3" t="n">
        <v>5.41</v>
      </c>
      <c r="AE68" s="3" t="n">
        <v>67.79000000000001</v>
      </c>
    </row>
    <row r="69">
      <c r="A69" s="6" t="n">
        <v>46100.52880787037</v>
      </c>
      <c r="B69" s="7" t="n">
        <v>74.40000000000001</v>
      </c>
      <c r="C69" s="7" t="n">
        <v>100.05</v>
      </c>
      <c r="D69" s="8" t="n">
        <v>1.34</v>
      </c>
      <c r="E69" s="7" t="n">
        <v>138.09</v>
      </c>
      <c r="F69" s="7" t="n">
        <v>146.12</v>
      </c>
      <c r="G69" s="7" t="n">
        <v>1.49</v>
      </c>
      <c r="H69" s="7" t="n">
        <v>-2.53</v>
      </c>
      <c r="I69" s="7" t="n">
        <v>-0.6</v>
      </c>
      <c r="J69" s="7" t="n">
        <v>-3.52</v>
      </c>
      <c r="K69" s="7" t="n">
        <v>-2.92</v>
      </c>
      <c r="L69" s="7" t="n">
        <v>-2.92</v>
      </c>
      <c r="M69" s="9" t="n">
        <v>-0.8</v>
      </c>
      <c r="N69" s="7" t="n">
        <v>26.24</v>
      </c>
      <c r="O69" s="7" t="n">
        <v>21.22</v>
      </c>
      <c r="P69" s="7" t="n">
        <v>27.3</v>
      </c>
      <c r="Q69" s="7" t="n">
        <v>5011</v>
      </c>
      <c r="R69" s="7" t="n">
        <v>-5.16</v>
      </c>
      <c r="S69" s="7" t="n">
        <v>-15.64</v>
      </c>
      <c r="T69" s="7" t="n">
        <v>-36.71</v>
      </c>
      <c r="U69" s="7" t="n">
        <v>-40.53</v>
      </c>
      <c r="V69" s="7" t="n">
        <v>74.67</v>
      </c>
      <c r="W69" s="7" t="n">
        <v>44.19</v>
      </c>
      <c r="X69" s="7" t="n">
        <v>-1.16</v>
      </c>
      <c r="Y69" s="7" t="n">
        <v>62.19</v>
      </c>
      <c r="Z69" s="7" t="n">
        <v>1.17</v>
      </c>
      <c r="AA69" s="7" t="n">
        <v>-5.66</v>
      </c>
      <c r="AB69" s="9" t="n">
        <v>0.71</v>
      </c>
      <c r="AC69" s="7" t="n">
        <v/>
      </c>
      <c r="AD69" s="7" t="n">
        <v>5.33</v>
      </c>
      <c r="AE69" s="7" t="n">
        <v>66.5</v>
      </c>
    </row>
    <row r="70">
      <c r="A70" s="2" t="n">
        <v>46100.52895833334</v>
      </c>
      <c r="B70" s="3" t="n">
        <v>74.58</v>
      </c>
      <c r="C70" s="3" t="n">
        <v>98.29000000000001</v>
      </c>
      <c r="D70" s="4" t="n">
        <v>1.32</v>
      </c>
      <c r="E70" s="3" t="n">
        <v>138.47</v>
      </c>
      <c r="F70" s="3" t="n">
        <v>152.9</v>
      </c>
      <c r="G70" s="3" t="n">
        <v>6.02</v>
      </c>
      <c r="H70" s="3" t="n">
        <v>-5.88</v>
      </c>
      <c r="I70" s="3" t="n">
        <v>1.6</v>
      </c>
      <c r="J70" s="3" t="n">
        <v>-4.83</v>
      </c>
      <c r="K70" s="3" t="n">
        <v>-6.43</v>
      </c>
      <c r="L70" s="3" t="n">
        <v>-3.75</v>
      </c>
      <c r="M70" s="5" t="n">
        <v>-0.2</v>
      </c>
      <c r="N70" s="3" t="n">
        <v>24.61</v>
      </c>
      <c r="O70" s="3" t="n">
        <v>20.86</v>
      </c>
      <c r="P70" s="3" t="n">
        <v>25.6</v>
      </c>
      <c r="Q70" s="3" t="n">
        <v>3783.02</v>
      </c>
      <c r="R70" s="3" t="n">
        <v>-12.41</v>
      </c>
      <c r="S70" s="3" t="n">
        <v>-32.77</v>
      </c>
      <c r="T70" s="3" t="n">
        <v>-59.8</v>
      </c>
      <c r="U70" s="3" t="n">
        <v>-70.63</v>
      </c>
      <c r="V70" s="3" t="n">
        <v>66.54000000000001</v>
      </c>
      <c r="W70" s="3" t="n">
        <v>40.08</v>
      </c>
      <c r="X70" s="3" t="n">
        <v>1.46</v>
      </c>
      <c r="Y70" s="3" t="n">
        <v>67.52</v>
      </c>
      <c r="Z70" s="3" t="n">
        <v>1.19</v>
      </c>
      <c r="AA70" s="3" t="n">
        <v>-13.63</v>
      </c>
      <c r="AB70" s="5" t="n">
        <v>0.04</v>
      </c>
      <c r="AC70" s="3" t="n">
        <v/>
      </c>
      <c r="AD70" s="3" t="n">
        <v>5.03</v>
      </c>
      <c r="AE70" s="3" t="n">
        <v>67.70999999999999</v>
      </c>
    </row>
    <row r="71">
      <c r="A71" s="6" t="n">
        <v>46100.5315162037</v>
      </c>
      <c r="B71" s="7" t="n">
        <v>76.13</v>
      </c>
      <c r="C71" s="7" t="n">
        <v>99.66</v>
      </c>
      <c r="D71" s="8" t="n">
        <v>1.31</v>
      </c>
      <c r="E71" s="7" t="n">
        <v>139.36</v>
      </c>
      <c r="F71" s="7" t="n">
        <v>149.5</v>
      </c>
      <c r="G71" s="7" t="n">
        <v>2.88</v>
      </c>
      <c r="H71" s="7" t="n">
        <v>-15.68</v>
      </c>
      <c r="I71" s="7" t="n">
        <v>1.6</v>
      </c>
      <c r="J71" s="7" t="n">
        <v>-2.09</v>
      </c>
      <c r="K71" s="7" t="n">
        <v>-3.69</v>
      </c>
      <c r="L71" s="7" t="n">
        <v>-1.39</v>
      </c>
      <c r="M71" s="9" t="n">
        <v>0</v>
      </c>
      <c r="N71" s="7" t="n">
        <v>25.67</v>
      </c>
      <c r="O71" s="7" t="n">
        <v>21.2</v>
      </c>
      <c r="P71" s="7" t="n">
        <v>26.01</v>
      </c>
      <c r="Q71" s="7" t="n">
        <v>4468.74</v>
      </c>
      <c r="R71" s="7" t="n">
        <v>-6.81</v>
      </c>
      <c r="S71" s="7" t="n">
        <v>-19.87</v>
      </c>
      <c r="T71" s="7" t="n">
        <v>-29.98</v>
      </c>
      <c r="U71" s="7" t="n">
        <v>-34.5</v>
      </c>
      <c r="V71" s="7" t="n">
        <v>72.63</v>
      </c>
      <c r="W71" s="7" t="n">
        <v>42.9</v>
      </c>
      <c r="X71" s="7" t="n">
        <v>1.45</v>
      </c>
      <c r="Y71" s="7" t="n">
        <v>64.86</v>
      </c>
      <c r="Z71" s="7" t="n">
        <v>1.14</v>
      </c>
      <c r="AA71" s="7" t="n">
        <v>-7.5</v>
      </c>
      <c r="AB71" s="9" t="n">
        <v>-0.08</v>
      </c>
      <c r="AC71" s="7" t="n">
        <v/>
      </c>
      <c r="AD71" s="7" t="n">
        <v>5.26</v>
      </c>
      <c r="AE71" s="7" t="n">
        <v>67.75</v>
      </c>
    </row>
    <row r="72">
      <c r="A72" s="2" t="n">
        <v>46100.52909722222</v>
      </c>
      <c r="B72" s="3" t="n">
        <v>74.98</v>
      </c>
      <c r="C72" s="3" t="n">
        <v>97.02</v>
      </c>
      <c r="D72" s="4" t="n">
        <v>1.29</v>
      </c>
      <c r="E72" s="3" t="n">
        <v>135.1</v>
      </c>
      <c r="F72" s="3" t="n">
        <v>142.85</v>
      </c>
      <c r="G72" s="3" t="n">
        <v>6.46</v>
      </c>
      <c r="H72" s="3" t="n">
        <v>2.93</v>
      </c>
      <c r="I72" s="3" t="n">
        <v>2.2</v>
      </c>
      <c r="J72" s="3" t="n">
        <v>3.69</v>
      </c>
      <c r="K72" s="3" t="n">
        <v>1.49</v>
      </c>
      <c r="L72" s="3" t="n">
        <v>3.41</v>
      </c>
      <c r="M72" s="5" t="n">
        <v>0.8</v>
      </c>
      <c r="N72" s="3" t="n">
        <v>28.46</v>
      </c>
      <c r="O72" s="3" t="n">
        <v>23.9</v>
      </c>
      <c r="P72" s="3" t="n">
        <v>27.68</v>
      </c>
      <c r="Q72" s="3" t="n">
        <v>4394.84</v>
      </c>
      <c r="R72" s="3" t="n">
        <v>2.62</v>
      </c>
      <c r="S72" s="3" t="n">
        <v>7.37</v>
      </c>
      <c r="T72" s="3" t="n">
        <v>31.45</v>
      </c>
      <c r="U72" s="3" t="n">
        <v>34.02</v>
      </c>
      <c r="V72" s="3" t="n">
        <v>78.97</v>
      </c>
      <c r="W72" s="3" t="n">
        <v>45.54</v>
      </c>
      <c r="X72" s="3" t="n">
        <v>2.51</v>
      </c>
      <c r="Y72" s="3" t="n">
        <v>65.78</v>
      </c>
      <c r="Z72" s="3" t="n">
        <v>1.14</v>
      </c>
      <c r="AA72" s="3" t="n">
        <v>2.82</v>
      </c>
      <c r="AB72" s="5" t="n">
        <v>-0.87</v>
      </c>
      <c r="AC72" s="3" t="n">
        <v/>
      </c>
      <c r="AD72" s="3" t="n">
        <v>5.36</v>
      </c>
      <c r="AE72" s="3" t="n">
        <v>67.66</v>
      </c>
    </row>
    <row r="73">
      <c r="A73" s="6" t="n">
        <v>46100.52952546296</v>
      </c>
      <c r="B73" s="7" t="n">
        <v>74.25</v>
      </c>
      <c r="C73" s="7" t="n">
        <v>95.06999999999999</v>
      </c>
      <c r="D73" s="8" t="n">
        <v>1.28</v>
      </c>
      <c r="E73" s="7" t="n">
        <v>131.58</v>
      </c>
      <c r="F73" s="7" t="n">
        <v>142.02</v>
      </c>
      <c r="G73" s="7" t="n">
        <v>7.27</v>
      </c>
      <c r="H73" s="7" t="n">
        <v>-0.01</v>
      </c>
      <c r="I73" s="7" t="n">
        <v>0.6</v>
      </c>
      <c r="J73" s="7" t="n">
        <v>3.44</v>
      </c>
      <c r="K73" s="7" t="n">
        <v>2.84</v>
      </c>
      <c r="L73" s="7" t="n">
        <v>2.9</v>
      </c>
      <c r="M73" s="9" t="n">
        <v>0</v>
      </c>
      <c r="N73" s="7" t="n">
        <v>27.14</v>
      </c>
      <c r="O73" s="7" t="n">
        <v>22.66</v>
      </c>
      <c r="P73" s="7" t="n">
        <v>27.38</v>
      </c>
      <c r="Q73" s="7" t="n">
        <v>4247.48</v>
      </c>
      <c r="R73" s="7" t="n">
        <v>5.15</v>
      </c>
      <c r="S73" s="7" t="n">
        <v>13.33</v>
      </c>
      <c r="T73" s="7" t="n">
        <v>33.29</v>
      </c>
      <c r="U73" s="7" t="n">
        <v>37.61</v>
      </c>
      <c r="V73" s="7" t="n">
        <v>70.16</v>
      </c>
      <c r="W73" s="7" t="n">
        <v>42.87</v>
      </c>
      <c r="X73" s="7" t="n">
        <v>0.45</v>
      </c>
      <c r="Y73" s="7" t="n">
        <v>65.79000000000001</v>
      </c>
      <c r="Z73" s="7" t="n">
        <v>1.14</v>
      </c>
      <c r="AA73" s="7" t="n">
        <v>5.59</v>
      </c>
      <c r="AB73" s="9" t="n">
        <v>-0.04</v>
      </c>
      <c r="AC73" s="7" t="n">
        <v/>
      </c>
      <c r="AD73" s="7" t="n">
        <v>5.1</v>
      </c>
      <c r="AE73" s="7" t="n">
        <v>68.06999999999999</v>
      </c>
    </row>
    <row r="74">
      <c r="A74" s="2" t="n">
        <v>46100.53090277778</v>
      </c>
      <c r="B74" s="3" t="n">
        <v>74.76000000000001</v>
      </c>
      <c r="C74" s="3" t="n">
        <v>99.55</v>
      </c>
      <c r="D74" s="4" t="n">
        <v>1.33</v>
      </c>
      <c r="E74" s="3" t="n">
        <v>139.22</v>
      </c>
      <c r="F74" s="3" t="n">
        <v>147.83</v>
      </c>
      <c r="G74" s="3" t="n">
        <v>5.93</v>
      </c>
      <c r="H74" s="3" t="n">
        <v>-6.14</v>
      </c>
      <c r="I74" s="3" t="n">
        <v>0</v>
      </c>
      <c r="J74" s="3" t="n">
        <v>-1.38</v>
      </c>
      <c r="K74" s="3" t="n">
        <v>-1.38</v>
      </c>
      <c r="L74" s="3" t="n">
        <v>-1.1</v>
      </c>
      <c r="M74" s="5" t="n">
        <v>-0.2</v>
      </c>
      <c r="N74" s="3" t="n">
        <v>26.62</v>
      </c>
      <c r="O74" s="3" t="n">
        <v>22.02</v>
      </c>
      <c r="P74" s="3" t="n">
        <v>26.96</v>
      </c>
      <c r="Q74" s="3" t="n">
        <v>4546.52</v>
      </c>
      <c r="R74" s="3" t="n">
        <v>-2.6</v>
      </c>
      <c r="S74" s="3" t="n">
        <v>-7.72</v>
      </c>
      <c r="T74" s="3" t="n">
        <v>-15.73</v>
      </c>
      <c r="U74" s="3" t="n">
        <v>-17.54</v>
      </c>
      <c r="V74" s="3" t="n">
        <v>76.37</v>
      </c>
      <c r="W74" s="3" t="n">
        <v>44.28</v>
      </c>
      <c r="X74" s="3" t="n">
        <v>-0.11</v>
      </c>
      <c r="Y74" s="3" t="n">
        <v>67.73999999999999</v>
      </c>
      <c r="Z74" s="3" t="n">
        <v>1.18</v>
      </c>
      <c r="AA74" s="3" t="n">
        <v>-2.85</v>
      </c>
      <c r="AB74" s="5" t="n">
        <v>0.12</v>
      </c>
      <c r="AC74" s="3" t="n">
        <v/>
      </c>
      <c r="AD74" s="3" t="n">
        <v>5.35</v>
      </c>
      <c r="AE74" s="3" t="n">
        <v>68.18000000000001</v>
      </c>
    </row>
    <row r="75">
      <c r="A75" s="6" t="n">
        <v>46100.52965277778</v>
      </c>
      <c r="B75" s="7" t="n">
        <v>75.55</v>
      </c>
      <c r="C75" s="7" t="n">
        <v>97.61</v>
      </c>
      <c r="D75" s="8" t="n">
        <v>1.29</v>
      </c>
      <c r="E75" s="7" t="n">
        <v>132.76</v>
      </c>
      <c r="F75" s="7" t="n">
        <v>144.45</v>
      </c>
      <c r="G75" s="7" t="n">
        <v>-2.18</v>
      </c>
      <c r="H75" s="7" t="n">
        <v>-5.96</v>
      </c>
      <c r="I75" s="7" t="n">
        <v>-0.6</v>
      </c>
      <c r="J75" s="7" t="n">
        <v>-4.73</v>
      </c>
      <c r="K75" s="7" t="n">
        <v>-4.13</v>
      </c>
      <c r="L75" s="7" t="n">
        <v>-3.86</v>
      </c>
      <c r="M75" s="9" t="n">
        <v>-0.8</v>
      </c>
      <c r="N75" s="7" t="n">
        <v>24.55</v>
      </c>
      <c r="O75" s="7" t="n">
        <v>19.51</v>
      </c>
      <c r="P75" s="7" t="n">
        <v>25.73</v>
      </c>
      <c r="Q75" s="7" t="n">
        <v>4937.75</v>
      </c>
      <c r="R75" s="7" t="n">
        <v>-7.55</v>
      </c>
      <c r="S75" s="7" t="n">
        <v>-20.65</v>
      </c>
      <c r="T75" s="7" t="n">
        <v>-47.4</v>
      </c>
      <c r="U75" s="7" t="n">
        <v>-54.49</v>
      </c>
      <c r="V75" s="7" t="n">
        <v>63.2</v>
      </c>
      <c r="W75" s="7" t="n">
        <v>40.62</v>
      </c>
      <c r="X75" s="7" t="n">
        <v>-1.21</v>
      </c>
      <c r="Y75" s="7" t="n">
        <v>64.79000000000001</v>
      </c>
      <c r="Z75" s="7" t="n">
        <v>1.15</v>
      </c>
      <c r="AA75" s="7" t="n">
        <v>-8.390000000000001</v>
      </c>
      <c r="AB75" s="9" t="n">
        <v>0.67</v>
      </c>
      <c r="AC75" s="7" t="n">
        <v/>
      </c>
      <c r="AD75" s="7" t="n">
        <v>4.98</v>
      </c>
      <c r="AE75" s="7" t="n">
        <v>68.34999999999999</v>
      </c>
    </row>
    <row r="76">
      <c r="A76" s="2" t="n">
        <v>46100.53008101852</v>
      </c>
      <c r="B76" s="3" t="n">
        <v>76.43000000000001</v>
      </c>
      <c r="C76" s="3" t="n">
        <v>97.16</v>
      </c>
      <c r="D76" s="4" t="n">
        <v>1.27</v>
      </c>
      <c r="E76" s="3" t="n">
        <v>133.44</v>
      </c>
      <c r="F76" s="3" t="n">
        <v>143.84</v>
      </c>
      <c r="G76" s="3" t="n">
        <v>-1</v>
      </c>
      <c r="H76" s="3" t="n">
        <v>-15.1</v>
      </c>
      <c r="I76" s="3" t="n">
        <v>3.2</v>
      </c>
      <c r="J76" s="3" t="n">
        <v>-2.16</v>
      </c>
      <c r="K76" s="3" t="n">
        <v>-5.36</v>
      </c>
      <c r="L76" s="3" t="n">
        <v>-1.07</v>
      </c>
      <c r="M76" s="5" t="n">
        <v>0</v>
      </c>
      <c r="N76" s="3" t="n">
        <v>26.07</v>
      </c>
      <c r="O76" s="3" t="n">
        <v>21.32</v>
      </c>
      <c r="P76" s="3" t="n">
        <v>26.56</v>
      </c>
      <c r="Q76" s="3" t="n">
        <v>4679</v>
      </c>
      <c r="R76" s="3" t="n">
        <v>-9.82</v>
      </c>
      <c r="S76" s="3" t="n">
        <v>-26.88</v>
      </c>
      <c r="T76" s="3" t="n">
        <v>-34.37</v>
      </c>
      <c r="U76" s="3" t="n">
        <v>-40.5</v>
      </c>
      <c r="V76" s="3" t="n">
        <v>68.75</v>
      </c>
      <c r="W76" s="3" t="n">
        <v>42.38</v>
      </c>
      <c r="X76" s="3" t="n">
        <v>3.14</v>
      </c>
      <c r="Y76" s="3" t="n">
        <v>64.8</v>
      </c>
      <c r="Z76" s="3" t="n">
        <v>1.19</v>
      </c>
      <c r="AA76" s="3" t="n">
        <v>-10.79</v>
      </c>
      <c r="AB76" s="5" t="n">
        <v>-0.16</v>
      </c>
      <c r="AC76" s="3" t="n">
        <v/>
      </c>
      <c r="AD76" s="3" t="n">
        <v>5.11</v>
      </c>
      <c r="AE76" s="3" t="n">
        <v>67.43000000000001</v>
      </c>
    </row>
    <row r="77">
      <c r="A77" s="6" t="n">
        <v>46100.53023148148</v>
      </c>
      <c r="B77" s="7" t="n">
        <v>76.65000000000001</v>
      </c>
      <c r="C77" s="7" t="n">
        <v>96.40000000000001</v>
      </c>
      <c r="D77" s="8" t="n">
        <v>1.26</v>
      </c>
      <c r="E77" s="7" t="n">
        <v>134.04</v>
      </c>
      <c r="F77" s="7" t="n">
        <v>142.1</v>
      </c>
      <c r="G77" s="7" t="n">
        <v>8.73</v>
      </c>
      <c r="H77" s="7" t="n">
        <v>1.27</v>
      </c>
      <c r="I77" s="7" t="n">
        <v>2</v>
      </c>
      <c r="J77" s="7" t="n">
        <v>6.49</v>
      </c>
      <c r="K77" s="7" t="n">
        <v>4.49</v>
      </c>
      <c r="L77" s="7" t="n">
        <v>5.67</v>
      </c>
      <c r="M77" s="9" t="n">
        <v>0.4</v>
      </c>
      <c r="N77" s="7" t="n">
        <v>28.66</v>
      </c>
      <c r="O77" s="7" t="n">
        <v>24.2</v>
      </c>
      <c r="P77" s="7" t="n">
        <v>28.58</v>
      </c>
      <c r="Q77" s="7" t="n">
        <v>4323.79</v>
      </c>
      <c r="R77" s="7" t="n">
        <v>7.84</v>
      </c>
      <c r="S77" s="7" t="n">
        <v>21.55</v>
      </c>
      <c r="T77" s="7" t="n">
        <v>61.1</v>
      </c>
      <c r="U77" s="7" t="n">
        <v>67.05</v>
      </c>
      <c r="V77" s="7" t="n">
        <v>78.41</v>
      </c>
      <c r="W77" s="7" t="n">
        <v>45.39</v>
      </c>
      <c r="X77" s="7" t="n">
        <v>2.06</v>
      </c>
      <c r="Y77" s="7" t="n">
        <v>64.70999999999999</v>
      </c>
      <c r="Z77" s="7" t="n">
        <v>1.13</v>
      </c>
      <c r="AA77" s="7" t="n">
        <v>8.41</v>
      </c>
      <c r="AB77" s="9" t="n">
        <v>-0.51</v>
      </c>
      <c r="AC77" s="7" t="n">
        <v/>
      </c>
      <c r="AD77" s="7" t="n">
        <v>5.32</v>
      </c>
      <c r="AE77" s="7" t="n">
        <v>66.11</v>
      </c>
    </row>
    <row r="78">
      <c r="A78" s="2" t="n">
        <v>46100.53105324074</v>
      </c>
      <c r="B78" s="3" t="n">
        <v>76.73</v>
      </c>
      <c r="C78" s="3" t="n">
        <v>101.57</v>
      </c>
      <c r="D78" s="4" t="n">
        <v>1.32</v>
      </c>
      <c r="E78" s="3" t="n">
        <v>143.81</v>
      </c>
      <c r="F78" s="3" t="n">
        <v>153.18</v>
      </c>
      <c r="G78" s="3" t="n">
        <v>4.45</v>
      </c>
      <c r="H78" s="3" t="n">
        <v>0.13</v>
      </c>
      <c r="I78" s="3" t="n">
        <v>1.8</v>
      </c>
      <c r="J78" s="3" t="n">
        <v>-2.91</v>
      </c>
      <c r="K78" s="3" t="n">
        <v>-4.71</v>
      </c>
      <c r="L78" s="3" t="n">
        <v>-2.05</v>
      </c>
      <c r="M78" s="5" t="n">
        <v>0.8</v>
      </c>
      <c r="N78" s="3" t="n">
        <v>26.04</v>
      </c>
      <c r="O78" s="3" t="n">
        <v>21.83</v>
      </c>
      <c r="P78" s="3" t="n">
        <v>25.67</v>
      </c>
      <c r="Q78" s="3" t="n">
        <v>4321.77</v>
      </c>
      <c r="R78" s="3" t="n">
        <v>-8.84</v>
      </c>
      <c r="S78" s="3" t="n">
        <v>-27.12</v>
      </c>
      <c r="T78" s="3" t="n">
        <v>-42.53</v>
      </c>
      <c r="U78" s="3" t="n">
        <v>-48.18</v>
      </c>
      <c r="V78" s="3" t="n">
        <v>78.09999999999999</v>
      </c>
      <c r="W78" s="3" t="n">
        <v>44.02</v>
      </c>
      <c r="X78" s="3" t="n">
        <v>1.97</v>
      </c>
      <c r="Y78" s="3" t="n">
        <v>67.48</v>
      </c>
      <c r="Z78" s="3" t="n">
        <v>1.18</v>
      </c>
      <c r="AA78" s="3" t="n">
        <v>-9.619999999999999</v>
      </c>
      <c r="AB78" s="5" t="n">
        <v>-0.83</v>
      </c>
      <c r="AC78" s="3" t="n">
        <v/>
      </c>
      <c r="AD78" s="3" t="n">
        <v>5.42</v>
      </c>
      <c r="AE78" s="3" t="n">
        <v>67.48</v>
      </c>
    </row>
    <row r="79">
      <c r="A79" s="6" t="n">
        <v>46100.53121527778</v>
      </c>
      <c r="B79" s="7" t="n">
        <v>75.77</v>
      </c>
      <c r="C79" s="7" t="n">
        <v>97.44</v>
      </c>
      <c r="D79" s="8" t="n">
        <v>1.29</v>
      </c>
      <c r="E79" s="7" t="n">
        <v>136.28</v>
      </c>
      <c r="F79" s="7" t="n">
        <v>145.08</v>
      </c>
      <c r="G79" s="7" t="n">
        <v>3.48</v>
      </c>
      <c r="H79" s="7" t="n">
        <v>-7.32</v>
      </c>
      <c r="I79" s="7" t="n">
        <v>1</v>
      </c>
      <c r="J79" s="7" t="n">
        <v>0.6</v>
      </c>
      <c r="K79" s="7" t="n">
        <v>-0.4</v>
      </c>
      <c r="L79" s="7" t="n">
        <v>0.66</v>
      </c>
      <c r="M79" s="9" t="n">
        <v>0.6</v>
      </c>
      <c r="N79" s="7" t="n">
        <v>27.54</v>
      </c>
      <c r="O79" s="7" t="n">
        <v>23.09</v>
      </c>
      <c r="P79" s="7" t="n">
        <v>27.02</v>
      </c>
      <c r="Q79" s="7" t="n">
        <v>4298.93</v>
      </c>
      <c r="R79" s="7" t="n">
        <v>-0.55</v>
      </c>
      <c r="S79" s="7" t="n">
        <v>-1.55</v>
      </c>
      <c r="T79" s="7" t="n">
        <v>3.18</v>
      </c>
      <c r="U79" s="7" t="n">
        <v>3.21</v>
      </c>
      <c r="V79" s="7" t="n">
        <v>76.40000000000001</v>
      </c>
      <c r="W79" s="7" t="n">
        <v>44.47</v>
      </c>
      <c r="X79" s="7" t="n">
        <v>1.11</v>
      </c>
      <c r="Y79" s="7" t="n">
        <v>64.65000000000001</v>
      </c>
      <c r="Z79" s="7" t="n">
        <v>1.18</v>
      </c>
      <c r="AA79" s="7" t="n">
        <v>-0.61</v>
      </c>
      <c r="AB79" s="9" t="n">
        <v>-0.63</v>
      </c>
      <c r="AC79" s="7" t="n">
        <v/>
      </c>
      <c r="AD79" s="7" t="n">
        <v>5.31</v>
      </c>
      <c r="AE79" s="7" t="n">
        <v>67.13</v>
      </c>
    </row>
    <row r="80">
      <c r="A80" s="2" t="n">
        <v>46100.53136574074</v>
      </c>
      <c r="B80" s="3" t="n">
        <v>76.62</v>
      </c>
      <c r="C80" s="3" t="n">
        <v>94.8</v>
      </c>
      <c r="D80" s="4" t="n">
        <v>1.24</v>
      </c>
      <c r="E80" s="3" t="n">
        <v>133.05</v>
      </c>
      <c r="F80" s="3" t="n">
        <v>147.86</v>
      </c>
      <c r="G80" s="3" t="n">
        <v>8.050000000000001</v>
      </c>
      <c r="H80" s="3" t="n">
        <v>-3.29</v>
      </c>
      <c r="I80" s="3" t="n">
        <v>2.4</v>
      </c>
      <c r="J80" s="3" t="n">
        <v>-1.33</v>
      </c>
      <c r="K80" s="3" t="n">
        <v>-3.73</v>
      </c>
      <c r="L80" s="3" t="n">
        <v>-0.68</v>
      </c>
      <c r="M80" s="5" t="n">
        <v>1.4</v>
      </c>
      <c r="N80" s="3" t="n">
        <v>25.56</v>
      </c>
      <c r="O80" s="3" t="n">
        <v>21.86</v>
      </c>
      <c r="P80" s="3" t="n">
        <v>24.37</v>
      </c>
      <c r="Q80" s="3" t="n">
        <v>3522.61</v>
      </c>
      <c r="R80" s="3" t="n">
        <v>-7.69</v>
      </c>
      <c r="S80" s="3" t="n">
        <v>-18.43</v>
      </c>
      <c r="T80" s="3" t="n">
        <v>-23.16</v>
      </c>
      <c r="U80" s="3" t="n">
        <v>-28.44</v>
      </c>
      <c r="V80" s="3" t="n">
        <v>64.84</v>
      </c>
      <c r="W80" s="3" t="n">
        <v>39.99</v>
      </c>
      <c r="X80" s="3" t="n">
        <v>2.96</v>
      </c>
      <c r="Y80" s="3" t="n">
        <v>70.65000000000001</v>
      </c>
      <c r="Z80" s="3" t="n">
        <v>1.2</v>
      </c>
      <c r="AA80" s="3" t="n">
        <v>-8.390000000000001</v>
      </c>
      <c r="AB80" s="5" t="n">
        <v>-1.46</v>
      </c>
      <c r="AC80" s="3" t="n">
        <v/>
      </c>
      <c r="AD80" s="3" t="n">
        <v>4.91</v>
      </c>
      <c r="AE80" s="3" t="n">
        <v>67.97</v>
      </c>
    </row>
    <row r="81">
      <c r="A81" s="6" t="n">
        <v>46100.53167824074</v>
      </c>
      <c r="B81" s="7" t="n">
        <v>77.56</v>
      </c>
      <c r="C81" s="7" t="n">
        <v>100.98</v>
      </c>
      <c r="D81" s="8" t="n">
        <v>1.3</v>
      </c>
      <c r="E81" s="7" t="n">
        <v>139.97</v>
      </c>
      <c r="F81" s="7" t="n">
        <v>146.55</v>
      </c>
      <c r="G81" s="7" t="n">
        <v>-1.55</v>
      </c>
      <c r="H81" s="7" t="n">
        <v>-9.06</v>
      </c>
      <c r="I81" s="7" t="n">
        <v>2.4</v>
      </c>
      <c r="J81" s="7" t="n">
        <v>0.46</v>
      </c>
      <c r="K81" s="7" t="n">
        <v>-1.94</v>
      </c>
      <c r="L81" s="7" t="n">
        <v>0.87</v>
      </c>
      <c r="M81" s="9" t="n">
        <v>0.2</v>
      </c>
      <c r="N81" s="7" t="n">
        <v>27.1</v>
      </c>
      <c r="O81" s="7" t="n">
        <v>22.11</v>
      </c>
      <c r="P81" s="7" t="n">
        <v>27.04</v>
      </c>
      <c r="Q81" s="7" t="n">
        <v>5014.56</v>
      </c>
      <c r="R81" s="7" t="n">
        <v>-3.6</v>
      </c>
      <c r="S81" s="7" t="n">
        <v>-11.33</v>
      </c>
      <c r="T81" s="7" t="n">
        <v>-4.92</v>
      </c>
      <c r="U81" s="7" t="n">
        <v>-6.23</v>
      </c>
      <c r="V81" s="7" t="n">
        <v>80.16</v>
      </c>
      <c r="W81" s="7" t="n">
        <v>45.75</v>
      </c>
      <c r="X81" s="7" t="n">
        <v>2.48</v>
      </c>
      <c r="Y81" s="7" t="n">
        <v>63.36</v>
      </c>
      <c r="Z81" s="7" t="n">
        <v>1.15</v>
      </c>
      <c r="AA81" s="7" t="n">
        <v>-3.94</v>
      </c>
      <c r="AB81" s="9" t="n">
        <v>-0.28</v>
      </c>
      <c r="AC81" s="7" t="n">
        <v/>
      </c>
      <c r="AD81" s="7" t="n">
        <v>5.48</v>
      </c>
      <c r="AE81" s="7" t="n">
        <v>67.26000000000001</v>
      </c>
    </row>
    <row r="83">
      <c r="A83" s="10" t="inlineStr">
        <is>
          <t>Pos Av</t>
        </is>
      </c>
      <c r="B83" s="11">
        <f>IF(COUNTIF(B2:B81,"&gt;0"),AVERAGEIF(B2:B81,"&gt;0"),"—")</f>
        <v/>
      </c>
      <c r="C83" s="11">
        <f>IF(COUNTIF(C2:C81,"&gt;0"),AVERAGEIF(C2:C81,"&gt;0"),"—")</f>
        <v/>
      </c>
      <c r="D83" s="12">
        <f>IF(COUNTIF(D2:D81,"&gt;0"),AVERAGEIF(D2:D81,"&gt;0"),"—")</f>
        <v/>
      </c>
      <c r="E83" s="11">
        <f>IF(COUNTIF(E2:E81,"&gt;0"),AVERAGEIF(E2:E81,"&gt;0"),"—")</f>
        <v/>
      </c>
      <c r="F83" s="11">
        <f>IF(COUNTIF(F2:F81,"&gt;0"),AVERAGEIF(F2:F81,"&gt;0"),"—")</f>
        <v/>
      </c>
      <c r="G83" s="11">
        <f>IF(COUNTIF(G2:G81,"&gt;0"),AVERAGEIF(G2:G81,"&gt;0"),"—")</f>
        <v/>
      </c>
      <c r="H83" s="11">
        <f>IF(COUNTIF(H2:H81,"&gt;0"),AVERAGEIF(H2:H81,"&gt;0"),"—")</f>
        <v/>
      </c>
      <c r="I83" s="11">
        <f>IF(COUNTIF(I2:I81,"&gt;0"),AVERAGEIF(I2:I81,"&gt;0"),"—")</f>
        <v/>
      </c>
      <c r="J83" s="11">
        <f>IF(COUNTIF(J2:J81,"&gt;0"),AVERAGEIF(J2:J81,"&gt;0"),"—")</f>
        <v/>
      </c>
      <c r="K83" s="11">
        <f>IF(COUNTIF(K2:K81,"&gt;0"),AVERAGEIF(K2:K81,"&gt;0"),"—")</f>
        <v/>
      </c>
      <c r="L83" s="11">
        <f>IF(COUNTIF(L2:L81,"&gt;0"),AVERAGEIF(L2:L81,"&gt;0"),"—")</f>
        <v/>
      </c>
      <c r="M83" s="13">
        <f>IF(COUNTIF(M2:M81,"&gt;0"),AVERAGEIF(M2:M81,"&gt;0"),"—")</f>
        <v/>
      </c>
      <c r="N83" s="11">
        <f>IF(COUNTIF(N2:N81,"&gt;0"),AVERAGEIF(N2:N81,"&gt;0"),"—")</f>
        <v/>
      </c>
      <c r="O83" s="11">
        <f>IF(COUNTIF(O2:O81,"&gt;0"),AVERAGEIF(O2:O81,"&gt;0"),"—")</f>
        <v/>
      </c>
      <c r="P83" s="11">
        <f>IF(COUNTIF(P2:P81,"&gt;0"),AVERAGEIF(P2:P81,"&gt;0"),"—")</f>
        <v/>
      </c>
      <c r="Q83" s="11">
        <f>IF(COUNTIF(Q2:Q81,"&gt;0"),AVERAGEIF(Q2:Q81,"&gt;0"),"—")</f>
        <v/>
      </c>
      <c r="R83" s="11">
        <f>IF(COUNTIF(R2:R81,"&gt;0"),AVERAGEIF(R2:R81,"&gt;0"),"—")</f>
        <v/>
      </c>
      <c r="S83" s="11">
        <f>IF(COUNTIF(S2:S81,"&gt;0"),AVERAGEIF(S2:S81,"&gt;0"),"—")</f>
        <v/>
      </c>
      <c r="T83" s="11">
        <f>IF(COUNTIF(T2:T81,"&gt;0"),AVERAGEIF(T2:T81,"&gt;0"),"—")</f>
        <v/>
      </c>
      <c r="U83" s="11">
        <f>IF(COUNTIF(U2:U81,"&gt;0"),AVERAGEIF(U2:U81,"&gt;0"),"—")</f>
        <v/>
      </c>
      <c r="V83" s="11">
        <f>IF(COUNTIF(V2:V81,"&gt;0"),AVERAGEIF(V2:V81,"&gt;0"),"—")</f>
        <v/>
      </c>
      <c r="W83" s="11">
        <f>IF(COUNTIF(W2:W81,"&gt;0"),AVERAGEIF(W2:W81,"&gt;0"),"—")</f>
        <v/>
      </c>
      <c r="X83" s="11">
        <f>IF(COUNTIF(X2:X81,"&gt;0"),AVERAGEIF(X2:X81,"&gt;0"),"—")</f>
        <v/>
      </c>
      <c r="Y83" s="11">
        <f>IF(COUNTIF(Y2:Y81,"&gt;0"),AVERAGEIF(Y2:Y81,"&gt;0"),"—")</f>
        <v/>
      </c>
      <c r="Z83" s="11">
        <f>IF(COUNTIF(Z2:Z81,"&gt;0"),AVERAGEIF(Z2:Z81,"&gt;0"),"—")</f>
        <v/>
      </c>
      <c r="AA83" s="11">
        <f>IF(COUNTIF(AA2:AA81,"&gt;0"),AVERAGEIF(AA2:AA81,"&gt;0"),"—")</f>
        <v/>
      </c>
      <c r="AB83" s="13">
        <f>IF(COUNTIF(AB2:AB81,"&gt;0"),AVERAGEIF(AB2:AB81,"&gt;0"),"—")</f>
        <v/>
      </c>
      <c r="AC83" s="11">
        <f>IF(COUNTIF(AC2:AC81,"&gt;0"),AVERAGEIF(AC2:AC81,"&gt;0"),"—")</f>
        <v/>
      </c>
      <c r="AD83" s="11">
        <f>IF(COUNTIF(AD2:AD81,"&gt;0"),AVERAGEIF(AD2:AD81,"&gt;0"),"—")</f>
        <v/>
      </c>
      <c r="AE83" s="11">
        <f>IF(COUNTIF(AE2:AE81,"&gt;0"),AVERAGEIF(AE2:AE81,"&gt;0"),"—")</f>
        <v/>
      </c>
    </row>
    <row r="84">
      <c r="A84" s="10" t="inlineStr">
        <is>
          <t>Neg Av</t>
        </is>
      </c>
      <c r="B84" s="11">
        <f>IF(COUNTIF(B2:B81,"&lt;0"),AVERAGEIF(B2:B81,"&lt;0"),"—")</f>
        <v/>
      </c>
      <c r="C84" s="11">
        <f>IF(COUNTIF(C2:C81,"&lt;0"),AVERAGEIF(C2:C81,"&lt;0"),"—")</f>
        <v/>
      </c>
      <c r="D84" s="12">
        <f>IF(COUNTIF(D2:D81,"&lt;0"),AVERAGEIF(D2:D81,"&lt;0"),"—")</f>
        <v/>
      </c>
      <c r="E84" s="11">
        <f>IF(COUNTIF(E2:E81,"&lt;0"),AVERAGEIF(E2:E81,"&lt;0"),"—")</f>
        <v/>
      </c>
      <c r="F84" s="11">
        <f>IF(COUNTIF(F2:F81,"&lt;0"),AVERAGEIF(F2:F81,"&lt;0"),"—")</f>
        <v/>
      </c>
      <c r="G84" s="11">
        <f>IF(COUNTIF(G2:G81,"&lt;0"),AVERAGEIF(G2:G81,"&lt;0"),"—")</f>
        <v/>
      </c>
      <c r="H84" s="11">
        <f>IF(COUNTIF(H2:H81,"&lt;0"),AVERAGEIF(H2:H81,"&lt;0"),"—")</f>
        <v/>
      </c>
      <c r="I84" s="11">
        <f>IF(COUNTIF(I2:I81,"&lt;0"),AVERAGEIF(I2:I81,"&lt;0"),"—")</f>
        <v/>
      </c>
      <c r="J84" s="11">
        <f>IF(COUNTIF(J2:J81,"&lt;0"),AVERAGEIF(J2:J81,"&lt;0"),"—")</f>
        <v/>
      </c>
      <c r="K84" s="11">
        <f>IF(COUNTIF(K2:K81,"&lt;0"),AVERAGEIF(K2:K81,"&lt;0"),"—")</f>
        <v/>
      </c>
      <c r="L84" s="11">
        <f>IF(COUNTIF(L2:L81,"&lt;0"),AVERAGEIF(L2:L81,"&lt;0"),"—")</f>
        <v/>
      </c>
      <c r="M84" s="13">
        <f>IF(COUNTIF(M2:M81,"&lt;0"),AVERAGEIF(M2:M81,"&lt;0"),"—")</f>
        <v/>
      </c>
      <c r="N84" s="11">
        <f>IF(COUNTIF(N2:N81,"&lt;0"),AVERAGEIF(N2:N81,"&lt;0"),"—")</f>
        <v/>
      </c>
      <c r="O84" s="11">
        <f>IF(COUNTIF(O2:O81,"&lt;0"),AVERAGEIF(O2:O81,"&lt;0"),"—")</f>
        <v/>
      </c>
      <c r="P84" s="11">
        <f>IF(COUNTIF(P2:P81,"&lt;0"),AVERAGEIF(P2:P81,"&lt;0"),"—")</f>
        <v/>
      </c>
      <c r="Q84" s="11">
        <f>IF(COUNTIF(Q2:Q81,"&lt;0"),AVERAGEIF(Q2:Q81,"&lt;0"),"—")</f>
        <v/>
      </c>
      <c r="R84" s="11">
        <f>IF(COUNTIF(R2:R81,"&lt;0"),AVERAGEIF(R2:R81,"&lt;0"),"—")</f>
        <v/>
      </c>
      <c r="S84" s="11">
        <f>IF(COUNTIF(S2:S81,"&lt;0"),AVERAGEIF(S2:S81,"&lt;0"),"—")</f>
        <v/>
      </c>
      <c r="T84" s="11">
        <f>IF(COUNTIF(T2:T81,"&lt;0"),AVERAGEIF(T2:T81,"&lt;0"),"—")</f>
        <v/>
      </c>
      <c r="U84" s="11">
        <f>IF(COUNTIF(U2:U81,"&lt;0"),AVERAGEIF(U2:U81,"&lt;0"),"—")</f>
        <v/>
      </c>
      <c r="V84" s="11">
        <f>IF(COUNTIF(V2:V81,"&lt;0"),AVERAGEIF(V2:V81,"&lt;0"),"—")</f>
        <v/>
      </c>
      <c r="W84" s="11">
        <f>IF(COUNTIF(W2:W81,"&lt;0"),AVERAGEIF(W2:W81,"&lt;0"),"—")</f>
        <v/>
      </c>
      <c r="X84" s="11">
        <f>IF(COUNTIF(X2:X81,"&lt;0"),AVERAGEIF(X2:X81,"&lt;0"),"—")</f>
        <v/>
      </c>
      <c r="Y84" s="11">
        <f>IF(COUNTIF(Y2:Y81,"&lt;0"),AVERAGEIF(Y2:Y81,"&lt;0"),"—")</f>
        <v/>
      </c>
      <c r="Z84" s="11">
        <f>IF(COUNTIF(Z2:Z81,"&lt;0"),AVERAGEIF(Z2:Z81,"&lt;0"),"—")</f>
        <v/>
      </c>
      <c r="AA84" s="11">
        <f>IF(COUNTIF(AA2:AA81,"&lt;0"),AVERAGEIF(AA2:AA81,"&lt;0"),"—")</f>
        <v/>
      </c>
      <c r="AB84" s="13">
        <f>IF(COUNTIF(AB2:AB81,"&lt;0"),AVERAGEIF(AB2:AB81,"&lt;0"),"—")</f>
        <v/>
      </c>
      <c r="AC84" s="11">
        <f>IF(COUNTIF(AC2:AC81,"&lt;0"),AVERAGEIF(AC2:AC81,"&lt;0"),"—")</f>
        <v/>
      </c>
      <c r="AD84" s="11">
        <f>IF(COUNTIF(AD2:AD81,"&lt;0"),AVERAGEIF(AD2:AD81,"&lt;0"),"—")</f>
        <v/>
      </c>
      <c r="AE84" s="11">
        <f>IF(COUNTIF(AE2:AE81,"&lt;0"),AVERAGEIF(AE2:AE81,"&lt;0"),"—")</f>
        <v/>
      </c>
    </row>
    <row r="85">
      <c r="A85" s="10" t="inlineStr">
        <is>
          <t>1 Av</t>
        </is>
      </c>
      <c r="B85" s="11">
        <f>IF(COUNTA(B2:B81),AVERAGE(B2:B81),"—")</f>
        <v/>
      </c>
      <c r="C85" s="11">
        <f>IF(COUNTA(C2:C81),AVERAGE(C2:C81),"—")</f>
        <v/>
      </c>
      <c r="D85" s="12">
        <f>IF(COUNTA(D2:D81),AVERAGE(D2:D81),"—")</f>
        <v/>
      </c>
      <c r="E85" s="11">
        <f>IF(COUNTA(E2:E81),AVERAGE(E2:E81),"—")</f>
        <v/>
      </c>
      <c r="F85" s="11">
        <f>IF(COUNTA(F2:F81),AVERAGE(F2:F81),"—")</f>
        <v/>
      </c>
      <c r="G85" s="11">
        <f>IF(COUNTA(G2:G81),AVERAGE(G2:G81),"—")</f>
        <v/>
      </c>
      <c r="H85" s="11">
        <f>IF(COUNTA(H2:H81),AVERAGE(H2:H81),"—")</f>
        <v/>
      </c>
      <c r="I85" s="11">
        <f>IF(COUNTA(I2:I81),AVERAGE(I2:I81),"—")</f>
        <v/>
      </c>
      <c r="J85" s="11">
        <f>IF(COUNTA(J2:J81),AVERAGE(J2:J81),"—")</f>
        <v/>
      </c>
      <c r="K85" s="11">
        <f>IF(COUNTA(K2:K81),AVERAGE(K2:K81),"—")</f>
        <v/>
      </c>
      <c r="L85" s="11">
        <f>IF(COUNTA(L2:L81),AVERAGE(L2:L81),"—")</f>
        <v/>
      </c>
      <c r="M85" s="13">
        <f>IF(COUNTA(M2:M81),AVERAGE(M2:M81),"—")</f>
        <v/>
      </c>
      <c r="N85" s="11">
        <f>IF(COUNTA(N2:N81),AVERAGE(N2:N81),"—")</f>
        <v/>
      </c>
      <c r="O85" s="11">
        <f>IF(COUNTA(O2:O81),AVERAGE(O2:O81),"—")</f>
        <v/>
      </c>
      <c r="P85" s="11">
        <f>IF(COUNTA(P2:P81),AVERAGE(P2:P81),"—")</f>
        <v/>
      </c>
      <c r="Q85" s="11">
        <f>IF(COUNTA(Q2:Q81),AVERAGE(Q2:Q81),"—")</f>
        <v/>
      </c>
      <c r="R85" s="11">
        <f>IF(COUNTA(R2:R81),AVERAGE(R2:R81),"—")</f>
        <v/>
      </c>
      <c r="S85" s="11">
        <f>IF(COUNTA(S2:S81),AVERAGE(S2:S81),"—")</f>
        <v/>
      </c>
      <c r="T85" s="11">
        <f>IF(COUNTA(T2:T81),AVERAGE(T2:T81),"—")</f>
        <v/>
      </c>
      <c r="U85" s="11">
        <f>IF(COUNTA(U2:U81),AVERAGE(U2:U81),"—")</f>
        <v/>
      </c>
      <c r="V85" s="11">
        <f>IF(COUNTA(V2:V81),AVERAGE(V2:V81),"—")</f>
        <v/>
      </c>
      <c r="W85" s="11">
        <f>IF(COUNTA(W2:W81),AVERAGE(W2:W81),"—")</f>
        <v/>
      </c>
      <c r="X85" s="11">
        <f>IF(COUNTA(X2:X81),AVERAGE(X2:X81),"—")</f>
        <v/>
      </c>
      <c r="Y85" s="11">
        <f>IF(COUNTA(Y2:Y81),AVERAGE(Y2:Y81),"—")</f>
        <v/>
      </c>
      <c r="Z85" s="11">
        <f>IF(COUNTA(Z2:Z81),AVERAGE(Z2:Z81),"—")</f>
        <v/>
      </c>
      <c r="AA85" s="11">
        <f>IF(COUNTA(AA2:AA81),AVERAGE(AA2:AA81),"—")</f>
        <v/>
      </c>
      <c r="AB85" s="13">
        <f>IF(COUNTA(AB2:AB81),AVERAGE(AB2:AB81),"—")</f>
        <v/>
      </c>
      <c r="AC85" s="11">
        <f>IF(COUNTA(AC2:AC81),AVERAGE(AC2:AC81),"—")</f>
        <v/>
      </c>
      <c r="AD85" s="11">
        <f>IF(COUNTA(AD2:AD81),AVERAGE(AD2:AD81),"—")</f>
        <v/>
      </c>
      <c r="AE85" s="11">
        <f>IF(COUNTA(AE2:AE81),AVERAGE(AE2:AE81),"—")</f>
        <v/>
      </c>
    </row>
    <row r="86">
      <c r="A86" s="10" t="inlineStr">
        <is>
          <t>Spread</t>
        </is>
      </c>
      <c r="B86" s="11">
        <f>IF(AND(ISNUMBER(B83),ISNUMBER(B84)),B83-B84,"—")</f>
        <v/>
      </c>
      <c r="C86" s="11">
        <f>IF(AND(ISNUMBER(C83),ISNUMBER(C84)),C83-C84,"—")</f>
        <v/>
      </c>
      <c r="D86" s="12">
        <f>IF(AND(ISNUMBER(D83),ISNUMBER(D84)),D83-D84,"—")</f>
        <v/>
      </c>
      <c r="E86" s="11">
        <f>IF(AND(ISNUMBER(E83),ISNUMBER(E84)),E83-E84,"—")</f>
        <v/>
      </c>
      <c r="F86" s="11">
        <f>IF(AND(ISNUMBER(F83),ISNUMBER(F84)),F83-F84,"—")</f>
        <v/>
      </c>
      <c r="G86" s="11">
        <f>IF(AND(ISNUMBER(G83),ISNUMBER(G84)),G83-G84,"—")</f>
        <v/>
      </c>
      <c r="H86" s="11">
        <f>IF(AND(ISNUMBER(H83),ISNUMBER(H84)),H83-H84,"—")</f>
        <v/>
      </c>
      <c r="I86" s="11">
        <f>IF(AND(ISNUMBER(I83),ISNUMBER(I84)),I83-I84,"—")</f>
        <v/>
      </c>
      <c r="J86" s="11">
        <f>IF(AND(ISNUMBER(J83),ISNUMBER(J84)),J83-J84,"—")</f>
        <v/>
      </c>
      <c r="K86" s="11">
        <f>IF(AND(ISNUMBER(K83),ISNUMBER(K84)),K83-K84,"—")</f>
        <v/>
      </c>
      <c r="L86" s="11">
        <f>IF(AND(ISNUMBER(L83),ISNUMBER(L84)),L83-L84,"—")</f>
        <v/>
      </c>
      <c r="M86" s="13">
        <f>IF(AND(ISNUMBER(M83),ISNUMBER(M84)),M83-M84,"—")</f>
        <v/>
      </c>
      <c r="N86" s="11">
        <f>IF(AND(ISNUMBER(N83),ISNUMBER(N84)),N83-N84,"—")</f>
        <v/>
      </c>
      <c r="O86" s="11">
        <f>IF(AND(ISNUMBER(O83),ISNUMBER(O84)),O83-O84,"—")</f>
        <v/>
      </c>
      <c r="P86" s="11">
        <f>IF(AND(ISNUMBER(P83),ISNUMBER(P84)),P83-P84,"—")</f>
        <v/>
      </c>
      <c r="Q86" s="11">
        <f>IF(AND(ISNUMBER(Q83),ISNUMBER(Q84)),Q83-Q84,"—")</f>
        <v/>
      </c>
      <c r="R86" s="11">
        <f>IF(AND(ISNUMBER(R83),ISNUMBER(R84)),R83-R84,"—")</f>
        <v/>
      </c>
      <c r="S86" s="11">
        <f>IF(AND(ISNUMBER(S83),ISNUMBER(S84)),S83-S84,"—")</f>
        <v/>
      </c>
      <c r="T86" s="11">
        <f>IF(AND(ISNUMBER(T83),ISNUMBER(T84)),T83-T84,"—")</f>
        <v/>
      </c>
      <c r="U86" s="11">
        <f>IF(AND(ISNUMBER(U83),ISNUMBER(U84)),U83-U84,"—")</f>
        <v/>
      </c>
      <c r="V86" s="11">
        <f>IF(AND(ISNUMBER(V83),ISNUMBER(V84)),V83-V84,"—")</f>
        <v/>
      </c>
      <c r="W86" s="11">
        <f>IF(AND(ISNUMBER(W83),ISNUMBER(W84)),W83-W84,"—")</f>
        <v/>
      </c>
      <c r="X86" s="11">
        <f>IF(AND(ISNUMBER(X83),ISNUMBER(X84)),X83-X84,"—")</f>
        <v/>
      </c>
      <c r="Y86" s="11">
        <f>IF(AND(ISNUMBER(Y83),ISNUMBER(Y84)),Y83-Y84,"—")</f>
        <v/>
      </c>
      <c r="Z86" s="11">
        <f>IF(AND(ISNUMBER(Z83),ISNUMBER(Z84)),Z83-Z84,"—")</f>
        <v/>
      </c>
      <c r="AA86" s="11">
        <f>IF(AND(ISNUMBER(AA83),ISNUMBER(AA84)),AA83-AA84,"—")</f>
        <v/>
      </c>
      <c r="AB86" s="13">
        <f>IF(AND(ISNUMBER(AB83),ISNUMBER(AB84)),AB83-AB84,"—")</f>
        <v/>
      </c>
      <c r="AC86" s="11">
        <f>IF(AND(ISNUMBER(AC83),ISNUMBER(AC84)),AC83-AC84,"—")</f>
        <v/>
      </c>
      <c r="AD86" s="11">
        <f>IF(AND(ISNUMBER(AD83),ISNUMBER(AD84)),AD83-AD84,"—")</f>
        <v/>
      </c>
      <c r="AE86" s="11">
        <f>IF(AND(ISNUMBER(AE83),ISNUMBER(AE84)),AE83-AE84,"—")</f>
        <v/>
      </c>
    </row>
    <row r="87">
      <c r="A87" s="10" t="inlineStr">
        <is>
          <t>% Pos</t>
        </is>
      </c>
      <c r="B87" s="14">
        <f>IF(COUNTA(B2:B81),COUNTIF(B2:B81,"&gt;0")/COUNTA(B2:B81),"—")</f>
        <v/>
      </c>
      <c r="C87" s="14">
        <f>IF(COUNTA(C2:C81),COUNTIF(C2:C81,"&gt;0")/COUNTA(C2:C81),"—")</f>
        <v/>
      </c>
      <c r="D87" s="14">
        <f>IF(COUNTA(D2:D81),COUNTIF(D2:D81,"&gt;0")/COUNTA(D2:D81),"—")</f>
        <v/>
      </c>
      <c r="E87" s="14">
        <f>IF(COUNTA(E2:E81),COUNTIF(E2:E81,"&gt;0")/COUNTA(E2:E81),"—")</f>
        <v/>
      </c>
      <c r="F87" s="14">
        <f>IF(COUNTA(F2:F81),COUNTIF(F2:F81,"&gt;0")/COUNTA(F2:F81),"—")</f>
        <v/>
      </c>
      <c r="G87" s="14">
        <f>IF(COUNTA(G2:G81),COUNTIF(G2:G81,"&gt;0")/COUNTA(G2:G81),"—")</f>
        <v/>
      </c>
      <c r="H87" s="14">
        <f>IF(COUNTA(H2:H81),COUNTIF(H2:H81,"&gt;0")/COUNTA(H2:H81),"—")</f>
        <v/>
      </c>
      <c r="I87" s="14">
        <f>IF(COUNTA(I2:I81),COUNTIF(I2:I81,"&gt;0")/COUNTA(I2:I81),"—")</f>
        <v/>
      </c>
      <c r="J87" s="14">
        <f>IF(COUNTA(J2:J81),COUNTIF(J2:J81,"&gt;0")/COUNTA(J2:J81),"—")</f>
        <v/>
      </c>
      <c r="K87" s="14">
        <f>IF(COUNTA(K2:K81),COUNTIF(K2:K81,"&gt;0")/COUNTA(K2:K81),"—")</f>
        <v/>
      </c>
      <c r="L87" s="14">
        <f>IF(COUNTA(L2:L81),COUNTIF(L2:L81,"&gt;0")/COUNTA(L2:L81),"—")</f>
        <v/>
      </c>
      <c r="M87" s="14">
        <f>IF(COUNTA(M2:M81),COUNTIF(M2:M81,"&gt;0")/COUNTA(M2:M81),"—")</f>
        <v/>
      </c>
      <c r="N87" s="14">
        <f>IF(COUNTA(N2:N81),COUNTIF(N2:N81,"&gt;0")/COUNTA(N2:N81),"—")</f>
        <v/>
      </c>
      <c r="O87" s="14">
        <f>IF(COUNTA(O2:O81),COUNTIF(O2:O81,"&gt;0")/COUNTA(O2:O81),"—")</f>
        <v/>
      </c>
      <c r="P87" s="14">
        <f>IF(COUNTA(P2:P81),COUNTIF(P2:P81,"&gt;0")/COUNTA(P2:P81),"—")</f>
        <v/>
      </c>
      <c r="Q87" s="14">
        <f>IF(COUNTA(Q2:Q81),COUNTIF(Q2:Q81,"&gt;0")/COUNTA(Q2:Q81),"—")</f>
        <v/>
      </c>
      <c r="R87" s="14">
        <f>IF(COUNTA(R2:R81),COUNTIF(R2:R81,"&gt;0")/COUNTA(R2:R81),"—")</f>
        <v/>
      </c>
      <c r="S87" s="14">
        <f>IF(COUNTA(S2:S81),COUNTIF(S2:S81,"&gt;0")/COUNTA(S2:S81),"—")</f>
        <v/>
      </c>
      <c r="T87" s="14">
        <f>IF(COUNTA(T2:T81),COUNTIF(T2:T81,"&gt;0")/COUNTA(T2:T81),"—")</f>
        <v/>
      </c>
      <c r="U87" s="14">
        <f>IF(COUNTA(U2:U81),COUNTIF(U2:U81,"&gt;0")/COUNTA(U2:U81),"—")</f>
        <v/>
      </c>
      <c r="V87" s="14">
        <f>IF(COUNTA(V2:V81),COUNTIF(V2:V81,"&gt;0")/COUNTA(V2:V81),"—")</f>
        <v/>
      </c>
      <c r="W87" s="14">
        <f>IF(COUNTA(W2:W81),COUNTIF(W2:W81,"&gt;0")/COUNTA(W2:W81),"—")</f>
        <v/>
      </c>
      <c r="X87" s="14">
        <f>IF(COUNTA(X2:X81),COUNTIF(X2:X81,"&gt;0")/COUNTA(X2:X81),"—")</f>
        <v/>
      </c>
      <c r="Y87" s="14">
        <f>IF(COUNTA(Y2:Y81),COUNTIF(Y2:Y81,"&gt;0")/COUNTA(Y2:Y81),"—")</f>
        <v/>
      </c>
      <c r="Z87" s="14">
        <f>IF(COUNTA(Z2:Z81),COUNTIF(Z2:Z81,"&gt;0")/COUNTA(Z2:Z81),"—")</f>
        <v/>
      </c>
      <c r="AA87" s="14">
        <f>IF(COUNTA(AA2:AA81),COUNTIF(AA2:AA81,"&gt;0")/COUNTA(AA2:AA81),"—")</f>
        <v/>
      </c>
      <c r="AB87" s="14">
        <f>IF(COUNTA(AB2:AB81),COUNTIF(AB2:AB81,"&gt;0")/COUNTA(AB2:AB81),"—")</f>
        <v/>
      </c>
      <c r="AC87" s="14">
        <f>IF(COUNTA(AC2:AC81),COUNTIF(AC2:AC81,"&gt;0")/COUNTA(AC2:AC81),"—")</f>
        <v/>
      </c>
      <c r="AD87" s="14">
        <f>IF(COUNTA(AD2:AD81),COUNTIF(AD2:AD81,"&gt;0")/COUNTA(AD2:AD81),"—")</f>
        <v/>
      </c>
      <c r="AE87" s="14">
        <f>IF(COUNTA(AE2:AE81),COUNTIF(AE2:AE81,"&gt;0")/COUNTA(AE2:AE81),"—")</f>
        <v/>
      </c>
    </row>
    <row r="88">
      <c r="A88" s="10" t="inlineStr">
        <is>
          <t>% Neg</t>
        </is>
      </c>
      <c r="B88" s="14">
        <f>IF(COUNTA(B2:B81),COUNTIF(B2:B81,"&lt;0")/COUNTA(B2:B81),"—")</f>
        <v/>
      </c>
      <c r="C88" s="14">
        <f>IF(COUNTA(C2:C81),COUNTIF(C2:C81,"&lt;0")/COUNTA(C2:C81),"—")</f>
        <v/>
      </c>
      <c r="D88" s="14">
        <f>IF(COUNTA(D2:D81),COUNTIF(D2:D81,"&lt;0")/COUNTA(D2:D81),"—")</f>
        <v/>
      </c>
      <c r="E88" s="14">
        <f>IF(COUNTA(E2:E81),COUNTIF(E2:E81,"&lt;0")/COUNTA(E2:E81),"—")</f>
        <v/>
      </c>
      <c r="F88" s="14">
        <f>IF(COUNTA(F2:F81),COUNTIF(F2:F81,"&lt;0")/COUNTA(F2:F81),"—")</f>
        <v/>
      </c>
      <c r="G88" s="14">
        <f>IF(COUNTA(G2:G81),COUNTIF(G2:G81,"&lt;0")/COUNTA(G2:G81),"—")</f>
        <v/>
      </c>
      <c r="H88" s="14">
        <f>IF(COUNTA(H2:H81),COUNTIF(H2:H81,"&lt;0")/COUNTA(H2:H81),"—")</f>
        <v/>
      </c>
      <c r="I88" s="14">
        <f>IF(COUNTA(I2:I81),COUNTIF(I2:I81,"&lt;0")/COUNTA(I2:I81),"—")</f>
        <v/>
      </c>
      <c r="J88" s="14">
        <f>IF(COUNTA(J2:J81),COUNTIF(J2:J81,"&lt;0")/COUNTA(J2:J81),"—")</f>
        <v/>
      </c>
      <c r="K88" s="14">
        <f>IF(COUNTA(K2:K81),COUNTIF(K2:K81,"&lt;0")/COUNTA(K2:K81),"—")</f>
        <v/>
      </c>
      <c r="L88" s="14">
        <f>IF(COUNTA(L2:L81),COUNTIF(L2:L81,"&lt;0")/COUNTA(L2:L81),"—")</f>
        <v/>
      </c>
      <c r="M88" s="14">
        <f>IF(COUNTA(M2:M81),COUNTIF(M2:M81,"&lt;0")/COUNTA(M2:M81),"—")</f>
        <v/>
      </c>
      <c r="N88" s="14">
        <f>IF(COUNTA(N2:N81),COUNTIF(N2:N81,"&lt;0")/COUNTA(N2:N81),"—")</f>
        <v/>
      </c>
      <c r="O88" s="14">
        <f>IF(COUNTA(O2:O81),COUNTIF(O2:O81,"&lt;0")/COUNTA(O2:O81),"—")</f>
        <v/>
      </c>
      <c r="P88" s="14">
        <f>IF(COUNTA(P2:P81),COUNTIF(P2:P81,"&lt;0")/COUNTA(P2:P81),"—")</f>
        <v/>
      </c>
      <c r="Q88" s="14">
        <f>IF(COUNTA(Q2:Q81),COUNTIF(Q2:Q81,"&lt;0")/COUNTA(Q2:Q81),"—")</f>
        <v/>
      </c>
      <c r="R88" s="14">
        <f>IF(COUNTA(R2:R81),COUNTIF(R2:R81,"&lt;0")/COUNTA(R2:R81),"—")</f>
        <v/>
      </c>
      <c r="S88" s="14">
        <f>IF(COUNTA(S2:S81),COUNTIF(S2:S81,"&lt;0")/COUNTA(S2:S81),"—")</f>
        <v/>
      </c>
      <c r="T88" s="14">
        <f>IF(COUNTA(T2:T81),COUNTIF(T2:T81,"&lt;0")/COUNTA(T2:T81),"—")</f>
        <v/>
      </c>
      <c r="U88" s="14">
        <f>IF(COUNTA(U2:U81),COUNTIF(U2:U81,"&lt;0")/COUNTA(U2:U81),"—")</f>
        <v/>
      </c>
      <c r="V88" s="14">
        <f>IF(COUNTA(V2:V81),COUNTIF(V2:V81,"&lt;0")/COUNTA(V2:V81),"—")</f>
        <v/>
      </c>
      <c r="W88" s="14">
        <f>IF(COUNTA(W2:W81),COUNTIF(W2:W81,"&lt;0")/COUNTA(W2:W81),"—")</f>
        <v/>
      </c>
      <c r="X88" s="14">
        <f>IF(COUNTA(X2:X81),COUNTIF(X2:X81,"&lt;0")/COUNTA(X2:X81),"—")</f>
        <v/>
      </c>
      <c r="Y88" s="14">
        <f>IF(COUNTA(Y2:Y81),COUNTIF(Y2:Y81,"&lt;0")/COUNTA(Y2:Y81),"—")</f>
        <v/>
      </c>
      <c r="Z88" s="14">
        <f>IF(COUNTA(Z2:Z81),COUNTIF(Z2:Z81,"&lt;0")/COUNTA(Z2:Z81),"—")</f>
        <v/>
      </c>
      <c r="AA88" s="14">
        <f>IF(COUNTA(AA2:AA81),COUNTIF(AA2:AA81,"&lt;0")/COUNTA(AA2:AA81),"—")</f>
        <v/>
      </c>
      <c r="AB88" s="14">
        <f>IF(COUNTA(AB2:AB81),COUNTIF(AB2:AB81,"&lt;0")/COUNTA(AB2:AB81),"—")</f>
        <v/>
      </c>
      <c r="AC88" s="14">
        <f>IF(COUNTA(AC2:AC81),COUNTIF(AC2:AC81,"&lt;0")/COUNTA(AC2:AC81),"—")</f>
        <v/>
      </c>
      <c r="AD88" s="14">
        <f>IF(COUNTA(AD2:AD81),COUNTIF(AD2:AD81,"&lt;0")/COUNTA(AD2:AD81),"—")</f>
        <v/>
      </c>
      <c r="AE88" s="14">
        <f>IF(COUNTA(AE2:AE81),COUNTIF(AE2:AE81,"&lt;0")/COUNTA(AE2:AE81),"—")</f>
        <v/>
      </c>
    </row>
  </sheetData>
  <autoFilter ref="A1:AE8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2026-03-19T17:51:54Z</dcterms:created>
  <dcterms:modified xsi:type="dcterms:W3CDTF">2026-03-19T17:51:54Z</dcterms:modified>
</cp:coreProperties>
</file>