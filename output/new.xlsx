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" sheetId="1" state="visible" r:id="rId1"/>
    <sheet name="5Wood" sheetId="2" state="visible" r:id="rId2"/>
    <sheet name="6Iron" sheetId="3" state="visible" r:id="rId3"/>
    <sheet name="9Iron" sheetId="4" state="visible" r:id="rId4"/>
    <sheet name="All Data" sheetId="5" state="visible" r:id="rId5"/>
  </sheets>
  <definedNames>
    <definedName name="_xlnm._FilterDatabase" localSheetId="0" hidden="1">'Driver'!$A$1:$AE$11</definedName>
    <definedName name="_xlnm._FilterDatabase" localSheetId="1" hidden="1">'5Wood'!$A$1:$AE$25</definedName>
    <definedName name="_xlnm._FilterDatabase" localSheetId="2" hidden="1">'6Iron'!$A$1:$AE$31</definedName>
    <definedName name="_xlnm._FilterDatabase" localSheetId="3" hidden="1">'9Iron'!$A$1:$AE$12</definedName>
    <definedName name="_xlnm._FilterDatabase" localSheetId="4" hidden="1">'All Data'!$A$1:$AE$76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7F7F7"/>
        <bgColor rgb="00F7F7F7"/>
      </patternFill>
    </fill>
  </fills>
  <borders count="2">
    <border>
      <left/>
      <right/>
      <top/>
      <bottom/>
      <diagonal/>
    </border>
    <border>
      <left style="thin">
        <color rgb="000000FF"/>
      </left>
      <right style="thin">
        <color rgb="000000FF"/>
      </right>
      <top style="thin">
        <color rgb="000000FF"/>
      </top>
      <bottom style="thin">
        <color rgb="000000F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left" vertical="center"/>
    </xf>
    <xf numFmtId="2" fontId="0" fillId="2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2" fontId="1" fillId="0" borderId="0" applyAlignment="1" pivotButton="0" quotePrefix="0" xfId="0">
      <alignment horizontal="right" vertical="center"/>
    </xf>
    <xf numFmtId="9" fontId="1" fillId="0" borderId="0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70" customHeight="1">
      <c r="A1" s="1" t="inlineStr">
        <is>
          <t>Time</t>
        </is>
      </c>
      <c r="B1" s="1" t="inlineStr">
        <is>
          <t>Club Speed (Mph)</t>
        </is>
      </c>
      <c r="C1" s="1" t="inlineStr">
        <is>
          <t>Ball Speed (Mph)</t>
        </is>
      </c>
      <c r="D1" s="1" t="inlineStr">
        <is>
          <t>Smash Factor</t>
        </is>
      </c>
      <c r="E1" s="1" t="inlineStr">
        <is>
          <t>Carry (Yds)</t>
        </is>
      </c>
      <c r="F1" s="1" t="inlineStr">
        <is>
          <t>Total (Yds)</t>
        </is>
      </c>
      <c r="G1" s="1" t="inlineStr">
        <is>
          <t>Impact Height (mm)</t>
        </is>
      </c>
      <c r="H1" s="1" t="inlineStr">
        <is>
          <t>Impact Offset (mm)</t>
        </is>
      </c>
      <c r="I1" s="1" t="inlineStr">
        <is>
          <t>Club Path (Deg)</t>
        </is>
      </c>
      <c r="J1" s="1" t="inlineStr">
        <is>
          <t>Face Angle (Deg)</t>
        </is>
      </c>
      <c r="K1" s="1" t="inlineStr">
        <is>
          <t>Face To Path (Deg)</t>
        </is>
      </c>
      <c r="L1" s="1" t="inlineStr">
        <is>
          <t>Launch Direction (Deg)</t>
        </is>
      </c>
      <c r="M1" s="1" t="inlineStr">
        <is>
          <t>Attack Angle (Deg)</t>
        </is>
      </c>
      <c r="N1" s="1" t="inlineStr">
        <is>
          <t>Dynamic Loft (Deg)</t>
        </is>
      </c>
      <c r="O1" s="1" t="inlineStr">
        <is>
          <t>Launch Angle (Deg)</t>
        </is>
      </c>
      <c r="P1" s="1" t="inlineStr">
        <is>
          <t>Spin Loft (Deg)</t>
        </is>
      </c>
      <c r="Q1" s="1" t="inlineStr">
        <is>
          <t>Spin Rate (Rpm)</t>
        </is>
      </c>
      <c r="R1" s="1" t="inlineStr">
        <is>
          <t>Spin Axis (Deg)</t>
        </is>
      </c>
      <c r="S1" s="1" t="inlineStr">
        <is>
          <t>Curve (Ft)</t>
        </is>
      </c>
      <c r="T1" s="1" t="inlineStr">
        <is>
          <t>Carry Side (Ft)</t>
        </is>
      </c>
      <c r="U1" s="1" t="inlineStr">
        <is>
          <t>Total Side (Ft)</t>
        </is>
      </c>
      <c r="V1" s="1" t="inlineStr">
        <is>
          <t>Max Height (Ft)</t>
        </is>
      </c>
      <c r="W1" s="1" t="inlineStr">
        <is>
          <t>Landing Angle (Deg)</t>
        </is>
      </c>
      <c r="X1" s="1" t="inlineStr">
        <is>
          <t>Swing Direction (Deg)</t>
        </is>
      </c>
      <c r="Y1" s="1" t="inlineStr">
        <is>
          <t>Swing Plane (Deg)</t>
        </is>
      </c>
      <c r="Z1" s="1" t="inlineStr">
        <is>
          <t>Swing Radius</t>
        </is>
      </c>
      <c r="AA1" s="1" t="inlineStr">
        <is>
          <t>DPlane Tilt</t>
        </is>
      </c>
      <c r="AB1" s="1" t="inlineStr">
        <is>
          <t>Low Point (In)</t>
        </is>
      </c>
      <c r="AC1" s="1" t="inlineStr">
        <is>
          <t>Landing Height</t>
        </is>
      </c>
      <c r="AD1" s="1" t="inlineStr">
        <is>
          <t>Hang Time (Sec)</t>
        </is>
      </c>
      <c r="AE1" s="1" t="inlineStr">
        <is>
          <t>Dynamic Lie (Deg)</t>
        </is>
      </c>
    </row>
    <row r="2">
      <c r="A2" s="2" t="inlineStr">
        <is>
          <t>2025-09-25 12:04:50</t>
        </is>
      </c>
      <c r="B2" s="3" t="n">
        <v>87.05</v>
      </c>
      <c r="C2" s="3" t="n">
        <v>123.69</v>
      </c>
      <c r="D2" s="3" t="n">
        <v>1.42</v>
      </c>
      <c r="E2" s="3" t="n">
        <v>197.55</v>
      </c>
      <c r="F2" s="3" t="n">
        <v>218.5</v>
      </c>
      <c r="G2" s="3" t="n">
        <v>13.11</v>
      </c>
      <c r="H2" s="3" t="n">
        <v>-10.82</v>
      </c>
      <c r="I2" s="3" t="n">
        <v>2.8</v>
      </c>
      <c r="J2" s="3" t="n">
        <v>0.92</v>
      </c>
      <c r="K2" s="3" t="n">
        <v>-1.88</v>
      </c>
      <c r="L2" s="3" t="n">
        <v>1.15</v>
      </c>
      <c r="M2" s="3" t="n">
        <v>0.4</v>
      </c>
      <c r="N2" s="3" t="n">
        <v>19.31</v>
      </c>
      <c r="O2" s="3" t="n">
        <v>17.04</v>
      </c>
      <c r="P2" s="3" t="n">
        <v>19.01</v>
      </c>
      <c r="Q2" s="3" t="n">
        <v>2793.96</v>
      </c>
      <c r="R2" s="3" t="n">
        <v>1.29</v>
      </c>
      <c r="S2" s="3" t="n">
        <v>5.26</v>
      </c>
      <c r="T2" s="3" t="n">
        <v>17.15</v>
      </c>
      <c r="U2" s="3" t="n">
        <v>19.44</v>
      </c>
      <c r="V2" s="3" t="n">
        <v>84.56999999999999</v>
      </c>
      <c r="W2" s="3" t="n">
        <v>39.06</v>
      </c>
      <c r="X2" s="3" t="n">
        <v>2.62</v>
      </c>
      <c r="Y2" s="3" t="n">
        <v>47.23</v>
      </c>
      <c r="Z2" s="3" t="n">
        <v>1.43</v>
      </c>
      <c r="AA2" s="3" t="n">
        <v>-5.27</v>
      </c>
      <c r="AB2" s="3" t="n">
        <v>-1.57</v>
      </c>
      <c r="AC2" s="3" t="n">
        <v/>
      </c>
      <c r="AD2" s="3" t="n">
        <v>5.96</v>
      </c>
      <c r="AE2" s="3" t="n">
        <v>56.54</v>
      </c>
    </row>
    <row r="3">
      <c r="A3" s="4" t="inlineStr">
        <is>
          <t>2025-09-25 12:05:20</t>
        </is>
      </c>
      <c r="B3" s="5" t="n">
        <v>87.48</v>
      </c>
      <c r="C3" s="5" t="n">
        <v>126.2</v>
      </c>
      <c r="D3" s="5" t="n">
        <v>1.44</v>
      </c>
      <c r="E3" s="5" t="n">
        <v>198.24</v>
      </c>
      <c r="F3" s="5" t="n">
        <v>223.14</v>
      </c>
      <c r="G3" s="5" t="n">
        <v>3.76</v>
      </c>
      <c r="H3" s="5" t="n">
        <v>-15.46</v>
      </c>
      <c r="I3" s="5" t="n">
        <v>2.2</v>
      </c>
      <c r="J3" s="5" t="n">
        <v>-1.23</v>
      </c>
      <c r="K3" s="5" t="n">
        <v>-3.43</v>
      </c>
      <c r="L3" s="5" t="n">
        <v>-0.75</v>
      </c>
      <c r="M3" s="5" t="n">
        <v>0.8</v>
      </c>
      <c r="N3" s="5" t="n">
        <v>16.18</v>
      </c>
      <c r="O3" s="5" t="n">
        <v>14.07</v>
      </c>
      <c r="P3" s="5" t="n">
        <v>15.72</v>
      </c>
      <c r="Q3" s="5" t="n">
        <v>2711</v>
      </c>
      <c r="R3" s="5" t="n">
        <v>-0.8100000000000001</v>
      </c>
      <c r="S3" s="5" t="n">
        <v>-3.16</v>
      </c>
      <c r="T3" s="5" t="n">
        <v>-10.92</v>
      </c>
      <c r="U3" s="5" t="n">
        <v>-12.66</v>
      </c>
      <c r="V3" s="5" t="n">
        <v>69.02</v>
      </c>
      <c r="W3" s="5" t="n">
        <v>34</v>
      </c>
      <c r="X3" s="5" t="n">
        <v>2.42</v>
      </c>
      <c r="Y3" s="5" t="n">
        <v>46.96</v>
      </c>
      <c r="Z3" s="5" t="n">
        <v>1.41</v>
      </c>
      <c r="AA3" s="5" t="n">
        <v>-11.97</v>
      </c>
      <c r="AB3" s="5" t="n">
        <v>-2.17</v>
      </c>
      <c r="AC3" s="5" t="n">
        <v/>
      </c>
      <c r="AD3" s="5" t="n">
        <v>5.58</v>
      </c>
      <c r="AE3" s="5" t="n">
        <v>55.55</v>
      </c>
    </row>
    <row r="4">
      <c r="A4" s="2" t="inlineStr">
        <is>
          <t>2025-09-25 12:09:44</t>
        </is>
      </c>
      <c r="B4" s="3" t="n">
        <v>88.18000000000001</v>
      </c>
      <c r="C4" s="3" t="n">
        <v>124.21</v>
      </c>
      <c r="D4" s="3" t="n">
        <v>1.41</v>
      </c>
      <c r="E4" s="3" t="n">
        <v>194.17</v>
      </c>
      <c r="F4" s="3" t="n">
        <v>214.5</v>
      </c>
      <c r="G4" s="3" t="n">
        <v>10.58</v>
      </c>
      <c r="H4" s="3" t="n">
        <v>-21.01</v>
      </c>
      <c r="I4" s="3" t="n">
        <v>2.6</v>
      </c>
      <c r="J4" s="3" t="n">
        <v>-1.56</v>
      </c>
      <c r="K4" s="3" t="n">
        <v>-4.16</v>
      </c>
      <c r="L4" s="3" t="n">
        <v>-0.96</v>
      </c>
      <c r="M4" s="3" t="n">
        <v>0</v>
      </c>
      <c r="N4" s="3" t="n">
        <v>17.59</v>
      </c>
      <c r="O4" s="3" t="n">
        <v>15.13</v>
      </c>
      <c r="P4" s="3" t="n">
        <v>17.97</v>
      </c>
      <c r="Q4" s="3" t="n">
        <v>3116.33</v>
      </c>
      <c r="R4" s="3" t="n">
        <v>2.16</v>
      </c>
      <c r="S4" s="3" t="n">
        <v>9.06</v>
      </c>
      <c r="T4" s="3" t="n">
        <v>-0.68</v>
      </c>
      <c r="U4" s="3" t="n">
        <v>0.07000000000000001</v>
      </c>
      <c r="V4" s="3" t="n">
        <v>77.79000000000001</v>
      </c>
      <c r="W4" s="3" t="n">
        <v>37.94</v>
      </c>
      <c r="X4" s="3" t="n">
        <v>2.12</v>
      </c>
      <c r="Y4" s="3" t="n">
        <v>43.99</v>
      </c>
      <c r="Z4" s="3" t="n">
        <v>1.4</v>
      </c>
      <c r="AA4" s="3" t="n">
        <v>-12.75</v>
      </c>
      <c r="AB4" s="3" t="n">
        <v>-1.14</v>
      </c>
      <c r="AC4" s="3" t="n">
        <v/>
      </c>
      <c r="AD4" s="3" t="n">
        <v>5.83</v>
      </c>
      <c r="AE4" s="3" t="n">
        <v>55.44</v>
      </c>
    </row>
    <row r="5">
      <c r="A5" s="4" t="inlineStr">
        <is>
          <t>2025-09-25 12:05:50</t>
        </is>
      </c>
      <c r="B5" s="5" t="n">
        <v>88.8</v>
      </c>
      <c r="C5" s="5" t="n">
        <v>128.44</v>
      </c>
      <c r="D5" s="5" t="n">
        <v>1.45</v>
      </c>
      <c r="E5" s="5" t="n">
        <v>202.09</v>
      </c>
      <c r="F5" s="5" t="n">
        <v>220.65</v>
      </c>
      <c r="G5" s="5" t="n">
        <v>-2.1</v>
      </c>
      <c r="H5" s="5" t="n">
        <v>-15.55</v>
      </c>
      <c r="I5" s="5" t="n">
        <v>2.6</v>
      </c>
      <c r="J5" s="5" t="n">
        <v>1.05</v>
      </c>
      <c r="K5" s="5" t="n">
        <v>-1.55</v>
      </c>
      <c r="L5" s="5" t="n">
        <v>1.29</v>
      </c>
      <c r="M5" s="5" t="n">
        <v>0.6</v>
      </c>
      <c r="N5" s="5" t="n">
        <v>17.55</v>
      </c>
      <c r="O5" s="5" t="n">
        <v>14.98</v>
      </c>
      <c r="P5" s="5" t="n">
        <v>17.1</v>
      </c>
      <c r="Q5" s="5" t="n">
        <v>3287</v>
      </c>
      <c r="R5" s="5" t="n">
        <v>4.56</v>
      </c>
      <c r="S5" s="5" t="n">
        <v>21.26</v>
      </c>
      <c r="T5" s="5" t="n">
        <v>34.86</v>
      </c>
      <c r="U5" s="5" t="n">
        <v>39.69</v>
      </c>
      <c r="V5" s="5" t="n">
        <v>85.41</v>
      </c>
      <c r="W5" s="5" t="n">
        <v>39.89</v>
      </c>
      <c r="X5" s="5" t="n">
        <v>2.55</v>
      </c>
      <c r="Y5" s="5" t="n">
        <v>44.5</v>
      </c>
      <c r="Z5" s="5" t="n">
        <v>1.37</v>
      </c>
      <c r="AA5" s="5" t="n">
        <v>-4.79</v>
      </c>
      <c r="AB5" s="5" t="n">
        <v>-1.73</v>
      </c>
      <c r="AC5" s="5" t="n">
        <v/>
      </c>
      <c r="AD5" s="5" t="n">
        <v>6.1</v>
      </c>
      <c r="AE5" s="5" t="n">
        <v>50.35</v>
      </c>
    </row>
    <row r="6">
      <c r="A6" s="2" t="inlineStr">
        <is>
          <t>2025-09-25 12:07:52</t>
        </is>
      </c>
      <c r="B6" s="3" t="n">
        <v>89.70999999999999</v>
      </c>
      <c r="C6" s="3" t="n">
        <v>129.35</v>
      </c>
      <c r="D6" s="3" t="n">
        <v>1.44</v>
      </c>
      <c r="E6" s="3" t="n">
        <v>211.16</v>
      </c>
      <c r="F6" s="3" t="n">
        <v>236.9</v>
      </c>
      <c r="G6" s="3" t="n">
        <v>7.68</v>
      </c>
      <c r="H6" s="3" t="n">
        <v>-4.33</v>
      </c>
      <c r="I6" s="3" t="n">
        <v>4.6</v>
      </c>
      <c r="J6" s="3" t="n">
        <v>0.82</v>
      </c>
      <c r="K6" s="3" t="n">
        <v>-3.78</v>
      </c>
      <c r="L6" s="3" t="n">
        <v>1.25</v>
      </c>
      <c r="M6" s="3" t="n">
        <v>2.8</v>
      </c>
      <c r="N6" s="3" t="n">
        <v>18.61</v>
      </c>
      <c r="O6" s="3" t="n">
        <v>16.92</v>
      </c>
      <c r="P6" s="3" t="n">
        <v>16.27</v>
      </c>
      <c r="Q6" s="3" t="n">
        <v>2234</v>
      </c>
      <c r="R6" s="3" t="n">
        <v>-10.8</v>
      </c>
      <c r="S6" s="3" t="n">
        <v>-41.14</v>
      </c>
      <c r="T6" s="3" t="n">
        <v>-27.31</v>
      </c>
      <c r="U6" s="3" t="n">
        <v>-35.2</v>
      </c>
      <c r="V6" s="3" t="n">
        <v>83.02</v>
      </c>
      <c r="W6" s="3" t="n">
        <v>36.14</v>
      </c>
      <c r="X6" s="3" t="n">
        <v>6.59</v>
      </c>
      <c r="Y6" s="3" t="n">
        <v>49.61</v>
      </c>
      <c r="Z6" s="3" t="n">
        <v>1.44</v>
      </c>
      <c r="AA6" s="3" t="n">
        <v>-13.11</v>
      </c>
      <c r="AB6" s="3" t="n">
        <v>-4.76</v>
      </c>
      <c r="AC6" s="3" t="n">
        <v/>
      </c>
      <c r="AD6" s="3" t="n">
        <v>5.86</v>
      </c>
      <c r="AE6" s="3" t="n">
        <v>51.17</v>
      </c>
    </row>
    <row r="7">
      <c r="A7" s="4" t="inlineStr">
        <is>
          <t>2025-09-25 12:06:25</t>
        </is>
      </c>
      <c r="B7" s="5" t="n">
        <v>86.61</v>
      </c>
      <c r="C7" s="5" t="n">
        <v>125.55</v>
      </c>
      <c r="D7" s="5" t="n">
        <v>1.45</v>
      </c>
      <c r="E7" s="5" t="n">
        <v>201.81</v>
      </c>
      <c r="F7" s="5" t="n">
        <v>226.61</v>
      </c>
      <c r="G7" s="5" t="n">
        <v>5.81</v>
      </c>
      <c r="H7" s="5" t="n">
        <v>-8.42</v>
      </c>
      <c r="I7" s="5" t="n">
        <v>2.2</v>
      </c>
      <c r="J7" s="5" t="n">
        <v>0.33</v>
      </c>
      <c r="K7" s="5" t="n">
        <v>-1.87</v>
      </c>
      <c r="L7" s="5" t="n">
        <v>0.5600000000000001</v>
      </c>
      <c r="M7" s="5" t="n">
        <v>1.6</v>
      </c>
      <c r="N7" s="5" t="n">
        <v>18.21</v>
      </c>
      <c r="O7" s="5" t="n">
        <v>16.25</v>
      </c>
      <c r="P7" s="5" t="n">
        <v>16.64</v>
      </c>
      <c r="Q7" s="5" t="n">
        <v>2458.14</v>
      </c>
      <c r="R7" s="5" t="n">
        <v>-0.13</v>
      </c>
      <c r="S7" s="5" t="n">
        <v>-0.48</v>
      </c>
      <c r="T7" s="5" t="n">
        <v>5.45</v>
      </c>
      <c r="U7" s="5" t="n">
        <v>6.07</v>
      </c>
      <c r="V7" s="5" t="n">
        <v>77.86</v>
      </c>
      <c r="W7" s="5" t="n">
        <v>35.94</v>
      </c>
      <c r="X7" s="5" t="n">
        <v>3.32</v>
      </c>
      <c r="Y7" s="5" t="n">
        <v>45.62</v>
      </c>
      <c r="Z7" s="5" t="n">
        <v>1.44</v>
      </c>
      <c r="AA7" s="5" t="n">
        <v>-6.08</v>
      </c>
      <c r="AB7" s="5" t="n">
        <v>-3.43</v>
      </c>
      <c r="AC7" s="5" t="n">
        <v/>
      </c>
      <c r="AD7" s="5" t="n">
        <v>5.75</v>
      </c>
      <c r="AE7" s="5" t="n">
        <v>53.57</v>
      </c>
    </row>
    <row r="8">
      <c r="A8" s="2" t="inlineStr">
        <is>
          <t>2025-09-25 12:06:53</t>
        </is>
      </c>
      <c r="B8" s="3" t="n">
        <v>89.13</v>
      </c>
      <c r="C8" s="3" t="n">
        <v>124.32</v>
      </c>
      <c r="D8" s="3" t="n">
        <v>1.39</v>
      </c>
      <c r="E8" s="3" t="n">
        <v>200.11</v>
      </c>
      <c r="F8" s="3" t="n">
        <v>226.79</v>
      </c>
      <c r="G8" s="3" t="n">
        <v/>
      </c>
      <c r="H8" s="3" t="n">
        <v/>
      </c>
      <c r="I8" s="3" t="n">
        <v>3.2</v>
      </c>
      <c r="J8" s="3" t="n">
        <v>-1.24</v>
      </c>
      <c r="K8" s="3" t="n">
        <v>-4.43</v>
      </c>
      <c r="L8" s="3" t="n">
        <v>-0.77</v>
      </c>
      <c r="M8" s="3" t="n">
        <v>1.8</v>
      </c>
      <c r="N8" s="3" t="n">
        <v>19.06</v>
      </c>
      <c r="O8" s="3" t="n">
        <v>17.36</v>
      </c>
      <c r="P8" s="3" t="n">
        <v>17.86</v>
      </c>
      <c r="Q8" s="3" t="n">
        <v>2161.58</v>
      </c>
      <c r="R8" s="3" t="n">
        <v>-10.38</v>
      </c>
      <c r="S8" s="3" t="n">
        <v>-35.21</v>
      </c>
      <c r="T8" s="3" t="n">
        <v>-43.29</v>
      </c>
      <c r="U8" s="3" t="n">
        <v>-53.34</v>
      </c>
      <c r="V8" s="3" t="n">
        <v>77.45</v>
      </c>
      <c r="W8" s="3" t="n">
        <v>35.17</v>
      </c>
      <c r="X8" s="3" t="n">
        <v>4.18</v>
      </c>
      <c r="Y8" s="3" t="n">
        <v>50.68</v>
      </c>
      <c r="Z8" s="3" t="n">
        <v>1.4</v>
      </c>
      <c r="AA8" s="3" t="n">
        <v>-13.78</v>
      </c>
      <c r="AB8" s="3" t="n">
        <v>-3.31</v>
      </c>
      <c r="AC8" s="3" t="n">
        <v/>
      </c>
      <c r="AD8" s="3" t="n">
        <v>5.61</v>
      </c>
      <c r="AE8" s="3" t="n">
        <v/>
      </c>
    </row>
    <row r="9">
      <c r="A9" s="4" t="inlineStr">
        <is>
          <t>2025-09-25 12:07:24</t>
        </is>
      </c>
      <c r="B9" s="5" t="n">
        <v>88.17</v>
      </c>
      <c r="C9" s="5" t="n">
        <v>125.59</v>
      </c>
      <c r="D9" s="5" t="n">
        <v>1.42</v>
      </c>
      <c r="E9" s="5" t="n">
        <v>202.38</v>
      </c>
      <c r="F9" s="5" t="n">
        <v>230.1</v>
      </c>
      <c r="G9" s="5" t="n">
        <v>10.39</v>
      </c>
      <c r="H9" s="5" t="n">
        <v>-8.039999999999999</v>
      </c>
      <c r="I9" s="5" t="n">
        <v>5.6</v>
      </c>
      <c r="J9" s="5" t="n">
        <v>1.41</v>
      </c>
      <c r="K9" s="5" t="n">
        <v>-4.2</v>
      </c>
      <c r="L9" s="5" t="n">
        <v>1.83</v>
      </c>
      <c r="M9" s="5" t="n">
        <v>1.8</v>
      </c>
      <c r="N9" s="5" t="n">
        <v>18.55</v>
      </c>
      <c r="O9" s="5" t="n">
        <v>16.92</v>
      </c>
      <c r="P9" s="5" t="n">
        <v>17.21</v>
      </c>
      <c r="Q9" s="5" t="n">
        <v>2096.55</v>
      </c>
      <c r="R9" s="5" t="n">
        <v>-8.140000000000001</v>
      </c>
      <c r="S9" s="5" t="n">
        <v>-27.4</v>
      </c>
      <c r="T9" s="5" t="n">
        <v>-8</v>
      </c>
      <c r="U9" s="5" t="n">
        <v>-12.56</v>
      </c>
      <c r="V9" s="5" t="n">
        <v>76.06999999999999</v>
      </c>
      <c r="W9" s="5" t="n">
        <v>34.46</v>
      </c>
      <c r="X9" s="5" t="n">
        <v>6.49</v>
      </c>
      <c r="Y9" s="5" t="n">
        <v>52.85</v>
      </c>
      <c r="Z9" s="5" t="n">
        <v>1.45</v>
      </c>
      <c r="AA9" s="5" t="n">
        <v>-13.3</v>
      </c>
      <c r="AB9" s="5" t="n">
        <v>-3.46</v>
      </c>
      <c r="AC9" s="5" t="n">
        <v/>
      </c>
      <c r="AD9" s="5" t="n">
        <v>5.57</v>
      </c>
      <c r="AE9" s="5" t="n">
        <v>52.27</v>
      </c>
    </row>
    <row r="10">
      <c r="A10" s="2" t="inlineStr">
        <is>
          <t>2025-09-25 12:10:09</t>
        </is>
      </c>
      <c r="B10" s="3" t="n">
        <v>89.37</v>
      </c>
      <c r="C10" s="3" t="n">
        <v>128.78</v>
      </c>
      <c r="D10" s="3" t="n">
        <v>1.44</v>
      </c>
      <c r="E10" s="3" t="n">
        <v>208.97</v>
      </c>
      <c r="F10" s="3" t="n">
        <v>233.99</v>
      </c>
      <c r="G10" s="3" t="n">
        <v>1.65</v>
      </c>
      <c r="H10" s="3" t="n">
        <v>-1.36</v>
      </c>
      <c r="I10" s="3" t="n">
        <v>4.4</v>
      </c>
      <c r="J10" s="3" t="n">
        <v>2.39</v>
      </c>
      <c r="K10" s="3" t="n">
        <v>-2.01</v>
      </c>
      <c r="L10" s="3" t="n">
        <v>2.65</v>
      </c>
      <c r="M10" s="3" t="n">
        <v>3</v>
      </c>
      <c r="N10" s="3" t="n">
        <v>18.02</v>
      </c>
      <c r="O10" s="3" t="n">
        <v>16.16</v>
      </c>
      <c r="P10" s="3" t="n">
        <v>15.05</v>
      </c>
      <c r="Q10" s="3" t="n">
        <v>2402.46</v>
      </c>
      <c r="R10" s="3" t="n">
        <v>-5.91</v>
      </c>
      <c r="S10" s="3" t="n">
        <v>-23.35</v>
      </c>
      <c r="T10" s="3" t="n">
        <v>5.7</v>
      </c>
      <c r="U10" s="3" t="n">
        <v>3.84</v>
      </c>
      <c r="V10" s="3" t="n">
        <v>80.86</v>
      </c>
      <c r="W10" s="3" t="n">
        <v>36.14</v>
      </c>
      <c r="X10" s="3" t="n">
        <v>6.6</v>
      </c>
      <c r="Y10" s="3" t="n">
        <v>49.26</v>
      </c>
      <c r="Z10" s="3" t="n">
        <v>1.43</v>
      </c>
      <c r="AA10" s="3" t="n">
        <v>-7.28</v>
      </c>
      <c r="AB10" s="3" t="n">
        <v>-5.2</v>
      </c>
      <c r="AC10" s="3" t="n">
        <v/>
      </c>
      <c r="AD10" s="3" t="n">
        <v>5.86</v>
      </c>
      <c r="AE10" s="3" t="n">
        <v>51.29</v>
      </c>
    </row>
    <row r="11">
      <c r="A11" s="4" t="inlineStr">
        <is>
          <t>2025-09-25 12:10:42</t>
        </is>
      </c>
      <c r="B11" s="5" t="n">
        <v>89.56999999999999</v>
      </c>
      <c r="C11" s="5" t="n">
        <v>130.5</v>
      </c>
      <c r="D11" s="5" t="n">
        <v>1.46</v>
      </c>
      <c r="E11" s="5" t="n">
        <v>209.94</v>
      </c>
      <c r="F11" s="5" t="n">
        <v>231.87</v>
      </c>
      <c r="G11" s="5" t="n">
        <v>2.86</v>
      </c>
      <c r="H11" s="5" t="n">
        <v>-15.41</v>
      </c>
      <c r="I11" s="5" t="n">
        <v>4.2</v>
      </c>
      <c r="J11" s="5" t="n">
        <v>0.61</v>
      </c>
      <c r="K11" s="5" t="n">
        <v>-3.59</v>
      </c>
      <c r="L11" s="5" t="n">
        <v>1.13</v>
      </c>
      <c r="M11" s="5" t="n">
        <v>2.2</v>
      </c>
      <c r="N11" s="5" t="n">
        <v>17.22</v>
      </c>
      <c r="O11" s="5" t="n">
        <v>15.09</v>
      </c>
      <c r="P11" s="5" t="n">
        <v>15.44</v>
      </c>
      <c r="Q11" s="5" t="n">
        <v>2831.76</v>
      </c>
      <c r="R11" s="5" t="n">
        <v>-1.1</v>
      </c>
      <c r="S11" s="5" t="n">
        <v>-4.95</v>
      </c>
      <c r="T11" s="5" t="n">
        <v>7.45</v>
      </c>
      <c r="U11" s="5" t="n">
        <v>7.77</v>
      </c>
      <c r="V11" s="5" t="n">
        <v>83.67</v>
      </c>
      <c r="W11" s="5" t="n">
        <v>38.02</v>
      </c>
      <c r="X11" s="5" t="n">
        <v>5.57</v>
      </c>
      <c r="Y11" s="5" t="n">
        <v>48.85</v>
      </c>
      <c r="Z11" s="5" t="n">
        <v>1.42</v>
      </c>
      <c r="AA11" s="5" t="n">
        <v>-12.67</v>
      </c>
      <c r="AB11" s="5" t="n">
        <v>-3.98</v>
      </c>
      <c r="AC11" s="5" t="n">
        <v/>
      </c>
      <c r="AD11" s="5" t="n">
        <v>6.06</v>
      </c>
      <c r="AE11" s="5" t="n">
        <v>53.55</v>
      </c>
    </row>
    <row r="13">
      <c r="A13" s="6" t="inlineStr">
        <is>
          <t>Pos Av</t>
        </is>
      </c>
      <c r="B13" s="7">
        <f>IF(COUNTIF(B2:B11,"&gt;0"),AVERAGEIF(B2:B11,"&gt;0"),"—")</f>
        <v/>
      </c>
      <c r="C13" s="7">
        <f>IF(COUNTIF(C2:C11,"&gt;0"),AVERAGEIF(C2:C11,"&gt;0"),"—")</f>
        <v/>
      </c>
      <c r="D13" s="7">
        <f>IF(COUNTIF(D2:D11,"&gt;0"),AVERAGEIF(D2:D11,"&gt;0"),"—")</f>
        <v/>
      </c>
      <c r="E13" s="7">
        <f>IF(COUNTIF(E2:E11,"&gt;0"),AVERAGEIF(E2:E11,"&gt;0"),"—")</f>
        <v/>
      </c>
      <c r="F13" s="7">
        <f>IF(COUNTIF(F2:F11,"&gt;0"),AVERAGEIF(F2:F11,"&gt;0"),"—")</f>
        <v/>
      </c>
      <c r="G13" s="7">
        <f>IF(COUNTIF(G2:G11,"&gt;0"),AVERAGEIF(G2:G11,"&gt;0"),"—")</f>
        <v/>
      </c>
      <c r="H13" s="7">
        <f>IF(COUNTIF(H2:H11,"&gt;0"),AVERAGEIF(H2:H11,"&gt;0"),"—")</f>
        <v/>
      </c>
      <c r="I13" s="7">
        <f>IF(COUNTIF(I2:I11,"&gt;0"),AVERAGEIF(I2:I11,"&gt;0"),"—")</f>
        <v/>
      </c>
      <c r="J13" s="7">
        <f>IF(COUNTIF(J2:J11,"&gt;0"),AVERAGEIF(J2:J11,"&gt;0"),"—")</f>
        <v/>
      </c>
      <c r="K13" s="7">
        <f>IF(COUNTIF(K2:K11,"&gt;0"),AVERAGEIF(K2:K11,"&gt;0"),"—")</f>
        <v/>
      </c>
      <c r="L13" s="7">
        <f>IF(COUNTIF(L2:L11,"&gt;0"),AVERAGEIF(L2:L11,"&gt;0"),"—")</f>
        <v/>
      </c>
      <c r="M13" s="7">
        <f>IF(COUNTIF(M2:M11,"&gt;0"),AVERAGEIF(M2:M11,"&gt;0"),"—")</f>
        <v/>
      </c>
      <c r="N13" s="7">
        <f>IF(COUNTIF(N2:N11,"&gt;0"),AVERAGEIF(N2:N11,"&gt;0"),"—")</f>
        <v/>
      </c>
      <c r="O13" s="7">
        <f>IF(COUNTIF(O2:O11,"&gt;0"),AVERAGEIF(O2:O11,"&gt;0"),"—")</f>
        <v/>
      </c>
      <c r="P13" s="7">
        <f>IF(COUNTIF(P2:P11,"&gt;0"),AVERAGEIF(P2:P11,"&gt;0"),"—")</f>
        <v/>
      </c>
      <c r="Q13" s="7">
        <f>IF(COUNTIF(Q2:Q11,"&gt;0"),AVERAGEIF(Q2:Q11,"&gt;0"),"—")</f>
        <v/>
      </c>
      <c r="R13" s="7">
        <f>IF(COUNTIF(R2:R11,"&gt;0"),AVERAGEIF(R2:R11,"&gt;0"),"—")</f>
        <v/>
      </c>
      <c r="S13" s="7">
        <f>IF(COUNTIF(S2:S11,"&gt;0"),AVERAGEIF(S2:S11,"&gt;0"),"—")</f>
        <v/>
      </c>
      <c r="T13" s="7">
        <f>IF(COUNTIF(T2:T11,"&gt;0"),AVERAGEIF(T2:T11,"&gt;0"),"—")</f>
        <v/>
      </c>
      <c r="U13" s="7">
        <f>IF(COUNTIF(U2:U11,"&gt;0"),AVERAGEIF(U2:U11,"&gt;0"),"—")</f>
        <v/>
      </c>
      <c r="V13" s="7">
        <f>IF(COUNTIF(V2:V11,"&gt;0"),AVERAGEIF(V2:V11,"&gt;0"),"—")</f>
        <v/>
      </c>
      <c r="W13" s="7">
        <f>IF(COUNTIF(W2:W11,"&gt;0"),AVERAGEIF(W2:W11,"&gt;0"),"—")</f>
        <v/>
      </c>
      <c r="X13" s="7">
        <f>IF(COUNTIF(X2:X11,"&gt;0"),AVERAGEIF(X2:X11,"&gt;0"),"—")</f>
        <v/>
      </c>
      <c r="Y13" s="7">
        <f>IF(COUNTIF(Y2:Y11,"&gt;0"),AVERAGEIF(Y2:Y11,"&gt;0"),"—")</f>
        <v/>
      </c>
      <c r="Z13" s="7">
        <f>IF(COUNTIF(Z2:Z11,"&gt;0"),AVERAGEIF(Z2:Z11,"&gt;0"),"—")</f>
        <v/>
      </c>
      <c r="AA13" s="7">
        <f>IF(COUNTIF(AA2:AA11,"&gt;0"),AVERAGEIF(AA2:AA11,"&gt;0"),"—")</f>
        <v/>
      </c>
      <c r="AB13" s="7">
        <f>IF(COUNTIF(AB2:AB11,"&gt;0"),AVERAGEIF(AB2:AB11,"&gt;0"),"—")</f>
        <v/>
      </c>
      <c r="AC13" s="7">
        <f>IF(COUNTIF(AC2:AC11,"&gt;0"),AVERAGEIF(AC2:AC11,"&gt;0"),"—")</f>
        <v/>
      </c>
      <c r="AD13" s="7">
        <f>IF(COUNTIF(AD2:AD11,"&gt;0"),AVERAGEIF(AD2:AD11,"&gt;0"),"—")</f>
        <v/>
      </c>
      <c r="AE13" s="7">
        <f>IF(COUNTIF(AE2:AE11,"&gt;0"),AVERAGEIF(AE2:AE11,"&gt;0"),"—")</f>
        <v/>
      </c>
    </row>
    <row r="14">
      <c r="A14" s="6" t="inlineStr">
        <is>
          <t>Neg Av</t>
        </is>
      </c>
      <c r="B14" s="7">
        <f>IF(COUNTIF(B2:B11,"&lt;0"),AVERAGEIF(B2:B11,"&lt;0"),"—")</f>
        <v/>
      </c>
      <c r="C14" s="7">
        <f>IF(COUNTIF(C2:C11,"&lt;0"),AVERAGEIF(C2:C11,"&lt;0"),"—")</f>
        <v/>
      </c>
      <c r="D14" s="7">
        <f>IF(COUNTIF(D2:D11,"&lt;0"),AVERAGEIF(D2:D11,"&lt;0"),"—")</f>
        <v/>
      </c>
      <c r="E14" s="7">
        <f>IF(COUNTIF(E2:E11,"&lt;0"),AVERAGEIF(E2:E11,"&lt;0"),"—")</f>
        <v/>
      </c>
      <c r="F14" s="7">
        <f>IF(COUNTIF(F2:F11,"&lt;0"),AVERAGEIF(F2:F11,"&lt;0"),"—")</f>
        <v/>
      </c>
      <c r="G14" s="7">
        <f>IF(COUNTIF(G2:G11,"&lt;0"),AVERAGEIF(G2:G11,"&lt;0"),"—")</f>
        <v/>
      </c>
      <c r="H14" s="7">
        <f>IF(COUNTIF(H2:H11,"&lt;0"),AVERAGEIF(H2:H11,"&lt;0"),"—")</f>
        <v/>
      </c>
      <c r="I14" s="7">
        <f>IF(COUNTIF(I2:I11,"&lt;0"),AVERAGEIF(I2:I11,"&lt;0"),"—")</f>
        <v/>
      </c>
      <c r="J14" s="7">
        <f>IF(COUNTIF(J2:J11,"&lt;0"),AVERAGEIF(J2:J11,"&lt;0"),"—")</f>
        <v/>
      </c>
      <c r="K14" s="7">
        <f>IF(COUNTIF(K2:K11,"&lt;0"),AVERAGEIF(K2:K11,"&lt;0"),"—")</f>
        <v/>
      </c>
      <c r="L14" s="7">
        <f>IF(COUNTIF(L2:L11,"&lt;0"),AVERAGEIF(L2:L11,"&lt;0"),"—")</f>
        <v/>
      </c>
      <c r="M14" s="7">
        <f>IF(COUNTIF(M2:M11,"&lt;0"),AVERAGEIF(M2:M11,"&lt;0"),"—")</f>
        <v/>
      </c>
      <c r="N14" s="7">
        <f>IF(COUNTIF(N2:N11,"&lt;0"),AVERAGEIF(N2:N11,"&lt;0"),"—")</f>
        <v/>
      </c>
      <c r="O14" s="7">
        <f>IF(COUNTIF(O2:O11,"&lt;0"),AVERAGEIF(O2:O11,"&lt;0"),"—")</f>
        <v/>
      </c>
      <c r="P14" s="7">
        <f>IF(COUNTIF(P2:P11,"&lt;0"),AVERAGEIF(P2:P11,"&lt;0"),"—")</f>
        <v/>
      </c>
      <c r="Q14" s="7">
        <f>IF(COUNTIF(Q2:Q11,"&lt;0"),AVERAGEIF(Q2:Q11,"&lt;0"),"—")</f>
        <v/>
      </c>
      <c r="R14" s="7">
        <f>IF(COUNTIF(R2:R11,"&lt;0"),AVERAGEIF(R2:R11,"&lt;0"),"—")</f>
        <v/>
      </c>
      <c r="S14" s="7">
        <f>IF(COUNTIF(S2:S11,"&lt;0"),AVERAGEIF(S2:S11,"&lt;0"),"—")</f>
        <v/>
      </c>
      <c r="T14" s="7">
        <f>IF(COUNTIF(T2:T11,"&lt;0"),AVERAGEIF(T2:T11,"&lt;0"),"—")</f>
        <v/>
      </c>
      <c r="U14" s="7">
        <f>IF(COUNTIF(U2:U11,"&lt;0"),AVERAGEIF(U2:U11,"&lt;0"),"—")</f>
        <v/>
      </c>
      <c r="V14" s="7">
        <f>IF(COUNTIF(V2:V11,"&lt;0"),AVERAGEIF(V2:V11,"&lt;0"),"—")</f>
        <v/>
      </c>
      <c r="W14" s="7">
        <f>IF(COUNTIF(W2:W11,"&lt;0"),AVERAGEIF(W2:W11,"&lt;0"),"—")</f>
        <v/>
      </c>
      <c r="X14" s="7">
        <f>IF(COUNTIF(X2:X11,"&lt;0"),AVERAGEIF(X2:X11,"&lt;0"),"—")</f>
        <v/>
      </c>
      <c r="Y14" s="7">
        <f>IF(COUNTIF(Y2:Y11,"&lt;0"),AVERAGEIF(Y2:Y11,"&lt;0"),"—")</f>
        <v/>
      </c>
      <c r="Z14" s="7">
        <f>IF(COUNTIF(Z2:Z11,"&lt;0"),AVERAGEIF(Z2:Z11,"&lt;0"),"—")</f>
        <v/>
      </c>
      <c r="AA14" s="7">
        <f>IF(COUNTIF(AA2:AA11,"&lt;0"),AVERAGEIF(AA2:AA11,"&lt;0"),"—")</f>
        <v/>
      </c>
      <c r="AB14" s="7">
        <f>IF(COUNTIF(AB2:AB11,"&lt;0"),AVERAGEIF(AB2:AB11,"&lt;0"),"—")</f>
        <v/>
      </c>
      <c r="AC14" s="7">
        <f>IF(COUNTIF(AC2:AC11,"&lt;0"),AVERAGEIF(AC2:AC11,"&lt;0"),"—")</f>
        <v/>
      </c>
      <c r="AD14" s="7">
        <f>IF(COUNTIF(AD2:AD11,"&lt;0"),AVERAGEIF(AD2:AD11,"&lt;0"),"—")</f>
        <v/>
      </c>
      <c r="AE14" s="7">
        <f>IF(COUNTIF(AE2:AE11,"&lt;0"),AVERAGEIF(AE2:AE11,"&lt;0"),"—")</f>
        <v/>
      </c>
    </row>
    <row r="15">
      <c r="A15" s="6" t="inlineStr">
        <is>
          <t>1 Av</t>
        </is>
      </c>
      <c r="B15" s="7">
        <f>IF(COUNTA(B2:B11),AVERAGE(B2:B11),"—")</f>
        <v/>
      </c>
      <c r="C15" s="7">
        <f>IF(COUNTA(C2:C11),AVERAGE(C2:C11),"—")</f>
        <v/>
      </c>
      <c r="D15" s="7">
        <f>IF(COUNTA(D2:D11),AVERAGE(D2:D11),"—")</f>
        <v/>
      </c>
      <c r="E15" s="7">
        <f>IF(COUNTA(E2:E11),AVERAGE(E2:E11),"—")</f>
        <v/>
      </c>
      <c r="F15" s="7">
        <f>IF(COUNTA(F2:F11),AVERAGE(F2:F11),"—")</f>
        <v/>
      </c>
      <c r="G15" s="7">
        <f>IF(COUNTA(G2:G11),AVERAGE(G2:G11),"—")</f>
        <v/>
      </c>
      <c r="H15" s="7">
        <f>IF(COUNTA(H2:H11),AVERAGE(H2:H11),"—")</f>
        <v/>
      </c>
      <c r="I15" s="7">
        <f>IF(COUNTA(I2:I11),AVERAGE(I2:I11),"—")</f>
        <v/>
      </c>
      <c r="J15" s="7">
        <f>IF(COUNTA(J2:J11),AVERAGE(J2:J11),"—")</f>
        <v/>
      </c>
      <c r="K15" s="7">
        <f>IF(COUNTA(K2:K11),AVERAGE(K2:K11),"—")</f>
        <v/>
      </c>
      <c r="L15" s="7">
        <f>IF(COUNTA(L2:L11),AVERAGE(L2:L11),"—")</f>
        <v/>
      </c>
      <c r="M15" s="7">
        <f>IF(COUNTA(M2:M11),AVERAGE(M2:M11),"—")</f>
        <v/>
      </c>
      <c r="N15" s="7">
        <f>IF(COUNTA(N2:N11),AVERAGE(N2:N11),"—")</f>
        <v/>
      </c>
      <c r="O15" s="7">
        <f>IF(COUNTA(O2:O11),AVERAGE(O2:O11),"—")</f>
        <v/>
      </c>
      <c r="P15" s="7">
        <f>IF(COUNTA(P2:P11),AVERAGE(P2:P11),"—")</f>
        <v/>
      </c>
      <c r="Q15" s="7">
        <f>IF(COUNTA(Q2:Q11),AVERAGE(Q2:Q11),"—")</f>
        <v/>
      </c>
      <c r="R15" s="7">
        <f>IF(COUNTA(R2:R11),AVERAGE(R2:R11),"—")</f>
        <v/>
      </c>
      <c r="S15" s="7">
        <f>IF(COUNTA(S2:S11),AVERAGE(S2:S11),"—")</f>
        <v/>
      </c>
      <c r="T15" s="7">
        <f>IF(COUNTA(T2:T11),AVERAGE(T2:T11),"—")</f>
        <v/>
      </c>
      <c r="U15" s="7">
        <f>IF(COUNTA(U2:U11),AVERAGE(U2:U11),"—")</f>
        <v/>
      </c>
      <c r="V15" s="7">
        <f>IF(COUNTA(V2:V11),AVERAGE(V2:V11),"—")</f>
        <v/>
      </c>
      <c r="W15" s="7">
        <f>IF(COUNTA(W2:W11),AVERAGE(W2:W11),"—")</f>
        <v/>
      </c>
      <c r="X15" s="7">
        <f>IF(COUNTA(X2:X11),AVERAGE(X2:X11),"—")</f>
        <v/>
      </c>
      <c r="Y15" s="7">
        <f>IF(COUNTA(Y2:Y11),AVERAGE(Y2:Y11),"—")</f>
        <v/>
      </c>
      <c r="Z15" s="7">
        <f>IF(COUNTA(Z2:Z11),AVERAGE(Z2:Z11),"—")</f>
        <v/>
      </c>
      <c r="AA15" s="7">
        <f>IF(COUNTA(AA2:AA11),AVERAGE(AA2:AA11),"—")</f>
        <v/>
      </c>
      <c r="AB15" s="7">
        <f>IF(COUNTA(AB2:AB11),AVERAGE(AB2:AB11),"—")</f>
        <v/>
      </c>
      <c r="AC15" s="7">
        <f>IF(COUNTA(AC2:AC11),AVERAGE(AC2:AC11),"—")</f>
        <v/>
      </c>
      <c r="AD15" s="7">
        <f>IF(COUNTA(AD2:AD11),AVERAGE(AD2:AD11),"—")</f>
        <v/>
      </c>
      <c r="AE15" s="7">
        <f>IF(COUNTA(AE2:AE11),AVERAGE(AE2:AE11),"—")</f>
        <v/>
      </c>
    </row>
    <row r="16">
      <c r="A16" s="6" t="inlineStr">
        <is>
          <t>Spread</t>
        </is>
      </c>
      <c r="B16" s="7">
        <f>IF(AND(ISNUMBER(B13),ISNUMBER(B14)),B13-B14,"—")</f>
        <v/>
      </c>
      <c r="C16" s="7">
        <f>IF(AND(ISNUMBER(C13),ISNUMBER(C14)),C13-C14,"—")</f>
        <v/>
      </c>
      <c r="D16" s="7">
        <f>IF(AND(ISNUMBER(D13),ISNUMBER(D14)),D13-D14,"—")</f>
        <v/>
      </c>
      <c r="E16" s="7">
        <f>IF(AND(ISNUMBER(E13),ISNUMBER(E14)),E13-E14,"—")</f>
        <v/>
      </c>
      <c r="F16" s="7">
        <f>IF(AND(ISNUMBER(F13),ISNUMBER(F14)),F13-F14,"—")</f>
        <v/>
      </c>
      <c r="G16" s="7">
        <f>IF(AND(ISNUMBER(G13),ISNUMBER(G14)),G13-G14,"—")</f>
        <v/>
      </c>
      <c r="H16" s="7">
        <f>IF(AND(ISNUMBER(H13),ISNUMBER(H14)),H13-H14,"—")</f>
        <v/>
      </c>
      <c r="I16" s="7">
        <f>IF(AND(ISNUMBER(I13),ISNUMBER(I14)),I13-I14,"—")</f>
        <v/>
      </c>
      <c r="J16" s="7">
        <f>IF(AND(ISNUMBER(J13),ISNUMBER(J14)),J13-J14,"—")</f>
        <v/>
      </c>
      <c r="K16" s="7">
        <f>IF(AND(ISNUMBER(K13),ISNUMBER(K14)),K13-K14,"—")</f>
        <v/>
      </c>
      <c r="L16" s="7">
        <f>IF(AND(ISNUMBER(L13),ISNUMBER(L14)),L13-L14,"—")</f>
        <v/>
      </c>
      <c r="M16" s="7">
        <f>IF(AND(ISNUMBER(M13),ISNUMBER(M14)),M13-M14,"—")</f>
        <v/>
      </c>
      <c r="N16" s="7">
        <f>IF(AND(ISNUMBER(N13),ISNUMBER(N14)),N13-N14,"—")</f>
        <v/>
      </c>
      <c r="O16" s="7">
        <f>IF(AND(ISNUMBER(O13),ISNUMBER(O14)),O13-O14,"—")</f>
        <v/>
      </c>
      <c r="P16" s="7">
        <f>IF(AND(ISNUMBER(P13),ISNUMBER(P14)),P13-P14,"—")</f>
        <v/>
      </c>
      <c r="Q16" s="7">
        <f>IF(AND(ISNUMBER(Q13),ISNUMBER(Q14)),Q13-Q14,"—")</f>
        <v/>
      </c>
      <c r="R16" s="7">
        <f>IF(AND(ISNUMBER(R13),ISNUMBER(R14)),R13-R14,"—")</f>
        <v/>
      </c>
      <c r="S16" s="7">
        <f>IF(AND(ISNUMBER(S13),ISNUMBER(S14)),S13-S14,"—")</f>
        <v/>
      </c>
      <c r="T16" s="7">
        <f>IF(AND(ISNUMBER(T13),ISNUMBER(T14)),T13-T14,"—")</f>
        <v/>
      </c>
      <c r="U16" s="7">
        <f>IF(AND(ISNUMBER(U13),ISNUMBER(U14)),U13-U14,"—")</f>
        <v/>
      </c>
      <c r="V16" s="7">
        <f>IF(AND(ISNUMBER(V13),ISNUMBER(V14)),V13-V14,"—")</f>
        <v/>
      </c>
      <c r="W16" s="7">
        <f>IF(AND(ISNUMBER(W13),ISNUMBER(W14)),W13-W14,"—")</f>
        <v/>
      </c>
      <c r="X16" s="7">
        <f>IF(AND(ISNUMBER(X13),ISNUMBER(X14)),X13-X14,"—")</f>
        <v/>
      </c>
      <c r="Y16" s="7">
        <f>IF(AND(ISNUMBER(Y13),ISNUMBER(Y14)),Y13-Y14,"—")</f>
        <v/>
      </c>
      <c r="Z16" s="7">
        <f>IF(AND(ISNUMBER(Z13),ISNUMBER(Z14)),Z13-Z14,"—")</f>
        <v/>
      </c>
      <c r="AA16" s="7">
        <f>IF(AND(ISNUMBER(AA13),ISNUMBER(AA14)),AA13-AA14,"—")</f>
        <v/>
      </c>
      <c r="AB16" s="7">
        <f>IF(AND(ISNUMBER(AB13),ISNUMBER(AB14)),AB13-AB14,"—")</f>
        <v/>
      </c>
      <c r="AC16" s="7">
        <f>IF(AND(ISNUMBER(AC13),ISNUMBER(AC14)),AC13-AC14,"—")</f>
        <v/>
      </c>
      <c r="AD16" s="7">
        <f>IF(AND(ISNUMBER(AD13),ISNUMBER(AD14)),AD13-AD14,"—")</f>
        <v/>
      </c>
      <c r="AE16" s="7">
        <f>IF(AND(ISNUMBER(AE13),ISNUMBER(AE14)),AE13-AE14,"—")</f>
        <v/>
      </c>
    </row>
    <row r="17">
      <c r="A17" s="6" t="inlineStr">
        <is>
          <t>% Pos</t>
        </is>
      </c>
      <c r="B17" s="8">
        <f>IF(COUNTA(B2:B11),COUNTIF(B2:B11,"&gt;0")/COUNTA(B2:B11),"—")</f>
        <v/>
      </c>
      <c r="C17" s="8">
        <f>IF(COUNTA(C2:C11),COUNTIF(C2:C11,"&gt;0")/COUNTA(C2:C11),"—")</f>
        <v/>
      </c>
      <c r="D17" s="8">
        <f>IF(COUNTA(D2:D11),COUNTIF(D2:D11,"&gt;0")/COUNTA(D2:D11),"—")</f>
        <v/>
      </c>
      <c r="E17" s="8">
        <f>IF(COUNTA(E2:E11),COUNTIF(E2:E11,"&gt;0")/COUNTA(E2:E11),"—")</f>
        <v/>
      </c>
      <c r="F17" s="8">
        <f>IF(COUNTA(F2:F11),COUNTIF(F2:F11,"&gt;0")/COUNTA(F2:F11),"—")</f>
        <v/>
      </c>
      <c r="G17" s="8">
        <f>IF(COUNTA(G2:G11),COUNTIF(G2:G11,"&gt;0")/COUNTA(G2:G11),"—")</f>
        <v/>
      </c>
      <c r="H17" s="8">
        <f>IF(COUNTA(H2:H11),COUNTIF(H2:H11,"&gt;0")/COUNTA(H2:H11),"—")</f>
        <v/>
      </c>
      <c r="I17" s="8">
        <f>IF(COUNTA(I2:I11),COUNTIF(I2:I11,"&gt;0")/COUNTA(I2:I11),"—")</f>
        <v/>
      </c>
      <c r="J17" s="8">
        <f>IF(COUNTA(J2:J11),COUNTIF(J2:J11,"&gt;0")/COUNTA(J2:J11),"—")</f>
        <v/>
      </c>
      <c r="K17" s="8">
        <f>IF(COUNTA(K2:K11),COUNTIF(K2:K11,"&gt;0")/COUNTA(K2:K11),"—")</f>
        <v/>
      </c>
      <c r="L17" s="8">
        <f>IF(COUNTA(L2:L11),COUNTIF(L2:L11,"&gt;0")/COUNTA(L2:L11),"—")</f>
        <v/>
      </c>
      <c r="M17" s="8">
        <f>IF(COUNTA(M2:M11),COUNTIF(M2:M11,"&gt;0")/COUNTA(M2:M11),"—")</f>
        <v/>
      </c>
      <c r="N17" s="8">
        <f>IF(COUNTA(N2:N11),COUNTIF(N2:N11,"&gt;0")/COUNTA(N2:N11),"—")</f>
        <v/>
      </c>
      <c r="O17" s="8">
        <f>IF(COUNTA(O2:O11),COUNTIF(O2:O11,"&gt;0")/COUNTA(O2:O11),"—")</f>
        <v/>
      </c>
      <c r="P17" s="8">
        <f>IF(COUNTA(P2:P11),COUNTIF(P2:P11,"&gt;0")/COUNTA(P2:P11),"—")</f>
        <v/>
      </c>
      <c r="Q17" s="8">
        <f>IF(COUNTA(Q2:Q11),COUNTIF(Q2:Q11,"&gt;0")/COUNTA(Q2:Q11),"—")</f>
        <v/>
      </c>
      <c r="R17" s="8">
        <f>IF(COUNTA(R2:R11),COUNTIF(R2:R11,"&gt;0")/COUNTA(R2:R11),"—")</f>
        <v/>
      </c>
      <c r="S17" s="8">
        <f>IF(COUNTA(S2:S11),COUNTIF(S2:S11,"&gt;0")/COUNTA(S2:S11),"—")</f>
        <v/>
      </c>
      <c r="T17" s="8">
        <f>IF(COUNTA(T2:T11),COUNTIF(T2:T11,"&gt;0")/COUNTA(T2:T11),"—")</f>
        <v/>
      </c>
      <c r="U17" s="8">
        <f>IF(COUNTA(U2:U11),COUNTIF(U2:U11,"&gt;0")/COUNTA(U2:U11),"—")</f>
        <v/>
      </c>
      <c r="V17" s="8">
        <f>IF(COUNTA(V2:V11),COUNTIF(V2:V11,"&gt;0")/COUNTA(V2:V11),"—")</f>
        <v/>
      </c>
      <c r="W17" s="8">
        <f>IF(COUNTA(W2:W11),COUNTIF(W2:W11,"&gt;0")/COUNTA(W2:W11),"—")</f>
        <v/>
      </c>
      <c r="X17" s="8">
        <f>IF(COUNTA(X2:X11),COUNTIF(X2:X11,"&gt;0")/COUNTA(X2:X11),"—")</f>
        <v/>
      </c>
      <c r="Y17" s="8">
        <f>IF(COUNTA(Y2:Y11),COUNTIF(Y2:Y11,"&gt;0")/COUNTA(Y2:Y11),"—")</f>
        <v/>
      </c>
      <c r="Z17" s="8">
        <f>IF(COUNTA(Z2:Z11),COUNTIF(Z2:Z11,"&gt;0")/COUNTA(Z2:Z11),"—")</f>
        <v/>
      </c>
      <c r="AA17" s="8">
        <f>IF(COUNTA(AA2:AA11),COUNTIF(AA2:AA11,"&gt;0")/COUNTA(AA2:AA11),"—")</f>
        <v/>
      </c>
      <c r="AB17" s="8">
        <f>IF(COUNTA(AB2:AB11),COUNTIF(AB2:AB11,"&gt;0")/COUNTA(AB2:AB11),"—")</f>
        <v/>
      </c>
      <c r="AC17" s="8">
        <f>IF(COUNTA(AC2:AC11),COUNTIF(AC2:AC11,"&gt;0")/COUNTA(AC2:AC11),"—")</f>
        <v/>
      </c>
      <c r="AD17" s="8">
        <f>IF(COUNTA(AD2:AD11),COUNTIF(AD2:AD11,"&gt;0")/COUNTA(AD2:AD11),"—")</f>
        <v/>
      </c>
      <c r="AE17" s="8">
        <f>IF(COUNTA(AE2:AE11),COUNTIF(AE2:AE11,"&gt;0")/COUNTA(AE2:AE11),"—")</f>
        <v/>
      </c>
    </row>
    <row r="18">
      <c r="A18" s="6" t="inlineStr">
        <is>
          <t>% Neg</t>
        </is>
      </c>
      <c r="B18" s="8">
        <f>IF(COUNTA(B2:B11),COUNTIF(B2:B11,"&lt;0")/COUNTA(B2:B11),"—")</f>
        <v/>
      </c>
      <c r="C18" s="8">
        <f>IF(COUNTA(C2:C11),COUNTIF(C2:C11,"&lt;0")/COUNTA(C2:C11),"—")</f>
        <v/>
      </c>
      <c r="D18" s="8">
        <f>IF(COUNTA(D2:D11),COUNTIF(D2:D11,"&lt;0")/COUNTA(D2:D11),"—")</f>
        <v/>
      </c>
      <c r="E18" s="8">
        <f>IF(COUNTA(E2:E11),COUNTIF(E2:E11,"&lt;0")/COUNTA(E2:E11),"—")</f>
        <v/>
      </c>
      <c r="F18" s="8">
        <f>IF(COUNTA(F2:F11),COUNTIF(F2:F11,"&lt;0")/COUNTA(F2:F11),"—")</f>
        <v/>
      </c>
      <c r="G18" s="8">
        <f>IF(COUNTA(G2:G11),COUNTIF(G2:G11,"&lt;0")/COUNTA(G2:G11),"—")</f>
        <v/>
      </c>
      <c r="H18" s="8">
        <f>IF(COUNTA(H2:H11),COUNTIF(H2:H11,"&lt;0")/COUNTA(H2:H11),"—")</f>
        <v/>
      </c>
      <c r="I18" s="8">
        <f>IF(COUNTA(I2:I11),COUNTIF(I2:I11,"&lt;0")/COUNTA(I2:I11),"—")</f>
        <v/>
      </c>
      <c r="J18" s="8">
        <f>IF(COUNTA(J2:J11),COUNTIF(J2:J11,"&lt;0")/COUNTA(J2:J11),"—")</f>
        <v/>
      </c>
      <c r="K18" s="8">
        <f>IF(COUNTA(K2:K11),COUNTIF(K2:K11,"&lt;0")/COUNTA(K2:K11),"—")</f>
        <v/>
      </c>
      <c r="L18" s="8">
        <f>IF(COUNTA(L2:L11),COUNTIF(L2:L11,"&lt;0")/COUNTA(L2:L11),"—")</f>
        <v/>
      </c>
      <c r="M18" s="8">
        <f>IF(COUNTA(M2:M11),COUNTIF(M2:M11,"&lt;0")/COUNTA(M2:M11),"—")</f>
        <v/>
      </c>
      <c r="N18" s="8">
        <f>IF(COUNTA(N2:N11),COUNTIF(N2:N11,"&lt;0")/COUNTA(N2:N11),"—")</f>
        <v/>
      </c>
      <c r="O18" s="8">
        <f>IF(COUNTA(O2:O11),COUNTIF(O2:O11,"&lt;0")/COUNTA(O2:O11),"—")</f>
        <v/>
      </c>
      <c r="P18" s="8">
        <f>IF(COUNTA(P2:P11),COUNTIF(P2:P11,"&lt;0")/COUNTA(P2:P11),"—")</f>
        <v/>
      </c>
      <c r="Q18" s="8">
        <f>IF(COUNTA(Q2:Q11),COUNTIF(Q2:Q11,"&lt;0")/COUNTA(Q2:Q11),"—")</f>
        <v/>
      </c>
      <c r="R18" s="8">
        <f>IF(COUNTA(R2:R11),COUNTIF(R2:R11,"&lt;0")/COUNTA(R2:R11),"—")</f>
        <v/>
      </c>
      <c r="S18" s="8">
        <f>IF(COUNTA(S2:S11),COUNTIF(S2:S11,"&lt;0")/COUNTA(S2:S11),"—")</f>
        <v/>
      </c>
      <c r="T18" s="8">
        <f>IF(COUNTA(T2:T11),COUNTIF(T2:T11,"&lt;0")/COUNTA(T2:T11),"—")</f>
        <v/>
      </c>
      <c r="U18" s="8">
        <f>IF(COUNTA(U2:U11),COUNTIF(U2:U11,"&lt;0")/COUNTA(U2:U11),"—")</f>
        <v/>
      </c>
      <c r="V18" s="8">
        <f>IF(COUNTA(V2:V11),COUNTIF(V2:V11,"&lt;0")/COUNTA(V2:V11),"—")</f>
        <v/>
      </c>
      <c r="W18" s="8">
        <f>IF(COUNTA(W2:W11),COUNTIF(W2:W11,"&lt;0")/COUNTA(W2:W11),"—")</f>
        <v/>
      </c>
      <c r="X18" s="8">
        <f>IF(COUNTA(X2:X11),COUNTIF(X2:X11,"&lt;0")/COUNTA(X2:X11),"—")</f>
        <v/>
      </c>
      <c r="Y18" s="8">
        <f>IF(COUNTA(Y2:Y11),COUNTIF(Y2:Y11,"&lt;0")/COUNTA(Y2:Y11),"—")</f>
        <v/>
      </c>
      <c r="Z18" s="8">
        <f>IF(COUNTA(Z2:Z11),COUNTIF(Z2:Z11,"&lt;0")/COUNTA(Z2:Z11),"—")</f>
        <v/>
      </c>
      <c r="AA18" s="8">
        <f>IF(COUNTA(AA2:AA11),COUNTIF(AA2:AA11,"&lt;0")/COUNTA(AA2:AA11),"—")</f>
        <v/>
      </c>
      <c r="AB18" s="8">
        <f>IF(COUNTA(AB2:AB11),COUNTIF(AB2:AB11,"&lt;0")/COUNTA(AB2:AB11),"—")</f>
        <v/>
      </c>
      <c r="AC18" s="8">
        <f>IF(COUNTA(AC2:AC11),COUNTIF(AC2:AC11,"&lt;0")/COUNTA(AC2:AC11),"—")</f>
        <v/>
      </c>
      <c r="AD18" s="8">
        <f>IF(COUNTA(AD2:AD11),COUNTIF(AD2:AD11,"&lt;0")/COUNTA(AD2:AD11),"—")</f>
        <v/>
      </c>
      <c r="AE18" s="8">
        <f>IF(COUNTA(AE2:AE11),COUNTIF(AE2:AE11,"&lt;0")/COUNTA(AE2:AE11),"—")</f>
        <v/>
      </c>
    </row>
    <row r="20">
      <c r="A20" s="6" t="inlineStr">
        <is>
          <t>Best Swings</t>
        </is>
      </c>
    </row>
    <row r="21">
      <c r="A21" s="9" t="n">
        <v/>
      </c>
      <c r="B21" s="9" t="n">
        <v>86.61</v>
      </c>
      <c r="C21" s="9" t="n">
        <v>125.55</v>
      </c>
      <c r="D21" s="9" t="n">
        <v>1.45</v>
      </c>
      <c r="E21" s="9" t="n">
        <v>201.81</v>
      </c>
      <c r="F21" s="9" t="n">
        <v>226.61</v>
      </c>
      <c r="G21" s="9" t="n">
        <v>5.81</v>
      </c>
      <c r="H21" s="9" t="n">
        <v>-8.42</v>
      </c>
      <c r="I21" s="9" t="n">
        <v>2.2</v>
      </c>
      <c r="J21" s="9" t="n">
        <v>0.33</v>
      </c>
      <c r="K21" s="9" t="n">
        <v>-1.87</v>
      </c>
      <c r="L21" s="9" t="n">
        <v>0.5600000000000001</v>
      </c>
      <c r="M21" s="9" t="n">
        <v>1.6</v>
      </c>
      <c r="N21" s="9" t="n">
        <v>18.21</v>
      </c>
      <c r="O21" s="9" t="n">
        <v>16.25</v>
      </c>
      <c r="P21" s="9" t="n">
        <v>16.64</v>
      </c>
      <c r="Q21" s="9" t="n">
        <v>2458.14</v>
      </c>
      <c r="R21" s="9" t="n">
        <v>-0.13</v>
      </c>
      <c r="S21" s="9" t="n">
        <v>-0.48</v>
      </c>
      <c r="T21" s="9" t="n">
        <v>5.45</v>
      </c>
      <c r="U21" s="9" t="n">
        <v>6.07</v>
      </c>
      <c r="V21" s="9" t="n">
        <v>77.86</v>
      </c>
      <c r="W21" s="9" t="n">
        <v>35.94</v>
      </c>
      <c r="X21" s="9" t="n">
        <v>3.32</v>
      </c>
      <c r="Y21" s="9" t="n">
        <v>45.62</v>
      </c>
      <c r="Z21" s="9" t="n">
        <v>1.44</v>
      </c>
      <c r="AA21" s="9" t="n">
        <v>-6.08</v>
      </c>
      <c r="AB21" s="9" t="n">
        <v>-3.43</v>
      </c>
      <c r="AC21" s="9" t="n">
        <v/>
      </c>
      <c r="AD21" s="9" t="n">
        <v>5.75</v>
      </c>
      <c r="AE21" s="9" t="n">
        <v>53.57</v>
      </c>
    </row>
  </sheetData>
  <autoFilter ref="A1:AE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70" customHeight="1">
      <c r="A1" s="1" t="inlineStr">
        <is>
          <t>Time</t>
        </is>
      </c>
      <c r="B1" s="1" t="inlineStr">
        <is>
          <t>Club Speed (Mph)</t>
        </is>
      </c>
      <c r="C1" s="1" t="inlineStr">
        <is>
          <t>Ball Speed (Mph)</t>
        </is>
      </c>
      <c r="D1" s="1" t="inlineStr">
        <is>
          <t>Smash Factor</t>
        </is>
      </c>
      <c r="E1" s="1" t="inlineStr">
        <is>
          <t>Carry (Yds)</t>
        </is>
      </c>
      <c r="F1" s="1" t="inlineStr">
        <is>
          <t>Total (Yds)</t>
        </is>
      </c>
      <c r="G1" s="1" t="inlineStr">
        <is>
          <t>Impact Height (mm)</t>
        </is>
      </c>
      <c r="H1" s="1" t="inlineStr">
        <is>
          <t>Impact Offset (mm)</t>
        </is>
      </c>
      <c r="I1" s="1" t="inlineStr">
        <is>
          <t>Club Path (Deg)</t>
        </is>
      </c>
      <c r="J1" s="1" t="inlineStr">
        <is>
          <t>Face Angle (Deg)</t>
        </is>
      </c>
      <c r="K1" s="1" t="inlineStr">
        <is>
          <t>Face To Path (Deg)</t>
        </is>
      </c>
      <c r="L1" s="1" t="inlineStr">
        <is>
          <t>Launch Direction (Deg)</t>
        </is>
      </c>
      <c r="M1" s="1" t="inlineStr">
        <is>
          <t>Attack Angle (Deg)</t>
        </is>
      </c>
      <c r="N1" s="1" t="inlineStr">
        <is>
          <t>Dynamic Loft (Deg)</t>
        </is>
      </c>
      <c r="O1" s="1" t="inlineStr">
        <is>
          <t>Launch Angle (Deg)</t>
        </is>
      </c>
      <c r="P1" s="1" t="inlineStr">
        <is>
          <t>Spin Loft (Deg)</t>
        </is>
      </c>
      <c r="Q1" s="1" t="inlineStr">
        <is>
          <t>Spin Rate (Rpm)</t>
        </is>
      </c>
      <c r="R1" s="1" t="inlineStr">
        <is>
          <t>Spin Axis (Deg)</t>
        </is>
      </c>
      <c r="S1" s="1" t="inlineStr">
        <is>
          <t>Curve (Ft)</t>
        </is>
      </c>
      <c r="T1" s="1" t="inlineStr">
        <is>
          <t>Carry Side (Ft)</t>
        </is>
      </c>
      <c r="U1" s="1" t="inlineStr">
        <is>
          <t>Total Side (Ft)</t>
        </is>
      </c>
      <c r="V1" s="1" t="inlineStr">
        <is>
          <t>Max Height (Ft)</t>
        </is>
      </c>
      <c r="W1" s="1" t="inlineStr">
        <is>
          <t>Landing Angle (Deg)</t>
        </is>
      </c>
      <c r="X1" s="1" t="inlineStr">
        <is>
          <t>Swing Direction (Deg)</t>
        </is>
      </c>
      <c r="Y1" s="1" t="inlineStr">
        <is>
          <t>Swing Plane (Deg)</t>
        </is>
      </c>
      <c r="Z1" s="1" t="inlineStr">
        <is>
          <t>Swing Radius</t>
        </is>
      </c>
      <c r="AA1" s="1" t="inlineStr">
        <is>
          <t>DPlane Tilt</t>
        </is>
      </c>
      <c r="AB1" s="1" t="inlineStr">
        <is>
          <t>Low Point (In)</t>
        </is>
      </c>
      <c r="AC1" s="1" t="inlineStr">
        <is>
          <t>Landing Height</t>
        </is>
      </c>
      <c r="AD1" s="1" t="inlineStr">
        <is>
          <t>Hang Time (Sec)</t>
        </is>
      </c>
      <c r="AE1" s="1" t="inlineStr">
        <is>
          <t>Dynamic Lie (Deg)</t>
        </is>
      </c>
    </row>
    <row r="2">
      <c r="A2" s="2" t="inlineStr">
        <is>
          <t>2025-09-25 11:50:21</t>
        </is>
      </c>
      <c r="B2" s="3" t="n">
        <v>83.33</v>
      </c>
      <c r="C2" s="3" t="n">
        <v>113.92</v>
      </c>
      <c r="D2" s="3" t="n">
        <v>1.37</v>
      </c>
      <c r="E2" s="3" t="n">
        <v>174.23</v>
      </c>
      <c r="F2" s="3" t="n">
        <v>197.65</v>
      </c>
      <c r="G2" s="3" t="n">
        <v>1.06</v>
      </c>
      <c r="H2" s="3" t="n">
        <v>-13.18</v>
      </c>
      <c r="I2" s="3" t="n">
        <v>3.4</v>
      </c>
      <c r="J2" s="3" t="n">
        <v>0.31</v>
      </c>
      <c r="K2" s="3" t="n">
        <v>-3.09</v>
      </c>
      <c r="L2" s="3" t="n">
        <v>0.71</v>
      </c>
      <c r="M2" s="3" t="n">
        <v>0</v>
      </c>
      <c r="N2" s="3" t="n">
        <v>18.99</v>
      </c>
      <c r="O2" s="3" t="n">
        <v>16.62</v>
      </c>
      <c r="P2" s="3" t="n">
        <v>19.34</v>
      </c>
      <c r="Q2" s="3" t="n">
        <v>2713.73</v>
      </c>
      <c r="R2" s="3" t="n">
        <v>-3.9</v>
      </c>
      <c r="S2" s="3" t="n">
        <v>-12.39</v>
      </c>
      <c r="T2" s="3" t="n">
        <v>-5.89</v>
      </c>
      <c r="U2" s="3" t="n">
        <v>-8.16</v>
      </c>
      <c r="V2" s="3" t="n">
        <v>66.22</v>
      </c>
      <c r="W2" s="3" t="n">
        <v>34.94</v>
      </c>
      <c r="X2" s="3" t="n">
        <v>2.97</v>
      </c>
      <c r="Y2" s="3" t="n">
        <v>60.8</v>
      </c>
      <c r="Z2" s="3" t="n">
        <v>1.24</v>
      </c>
      <c r="AA2" s="3" t="n">
        <v>-8.68</v>
      </c>
      <c r="AB2" s="3" t="n">
        <v>-0.71</v>
      </c>
      <c r="AC2" s="3" t="n">
        <v/>
      </c>
      <c r="AD2" s="3" t="n">
        <v>5.28</v>
      </c>
      <c r="AE2" s="3" t="n">
        <v>57.41</v>
      </c>
    </row>
    <row r="3">
      <c r="A3" s="4" t="inlineStr">
        <is>
          <t>2025-09-25 11:50:52</t>
        </is>
      </c>
      <c r="B3" s="5" t="n">
        <v>82.28</v>
      </c>
      <c r="C3" s="5" t="n">
        <v>117.18</v>
      </c>
      <c r="D3" s="5" t="n">
        <v>1.42</v>
      </c>
      <c r="E3" s="5" t="n">
        <v>174.43</v>
      </c>
      <c r="F3" s="5" t="n">
        <v>192.33</v>
      </c>
      <c r="G3" s="5" t="n">
        <v>-1.62</v>
      </c>
      <c r="H3" s="5" t="n">
        <v>-15.21</v>
      </c>
      <c r="I3" s="5" t="n">
        <v>0.2</v>
      </c>
      <c r="J3" s="5" t="n">
        <v>-0.65</v>
      </c>
      <c r="K3" s="5" t="n">
        <v>-0.85</v>
      </c>
      <c r="L3" s="5" t="n">
        <v>-0.52</v>
      </c>
      <c r="M3" s="5" t="n">
        <v>-3.2</v>
      </c>
      <c r="N3" s="5" t="n">
        <v>18.01</v>
      </c>
      <c r="O3" s="5" t="n">
        <v>14.73</v>
      </c>
      <c r="P3" s="5" t="n">
        <v>21.36</v>
      </c>
      <c r="Q3" s="5" t="n">
        <v>3811.23</v>
      </c>
      <c r="R3" s="5" t="n">
        <v>2.77</v>
      </c>
      <c r="S3" s="5" t="n">
        <v>10.81</v>
      </c>
      <c r="T3" s="5" t="n">
        <v>6.08</v>
      </c>
      <c r="U3" s="5" t="n">
        <v>7.63</v>
      </c>
      <c r="V3" s="5" t="n">
        <v>70.36</v>
      </c>
      <c r="W3" s="5" t="n">
        <v>38.07</v>
      </c>
      <c r="X3" s="5" t="n">
        <v>-2.73</v>
      </c>
      <c r="Y3" s="5" t="n">
        <v>52.51</v>
      </c>
      <c r="Z3" s="5" t="n">
        <v>1.29</v>
      </c>
      <c r="AA3" s="5" t="n">
        <v>-2.12</v>
      </c>
      <c r="AB3" s="5" t="n">
        <v>3.07</v>
      </c>
      <c r="AC3" s="5" t="n">
        <v/>
      </c>
      <c r="AD3" s="5" t="n">
        <v>5.54</v>
      </c>
      <c r="AE3" s="5" t="n">
        <v>57.53</v>
      </c>
    </row>
    <row r="4">
      <c r="A4" s="2" t="inlineStr">
        <is>
          <t>2025-09-25 11:58:19</t>
        </is>
      </c>
      <c r="B4" s="3" t="n">
        <v>84.31</v>
      </c>
      <c r="C4" s="3" t="n">
        <v>109.74</v>
      </c>
      <c r="D4" s="3" t="n">
        <v>1.3</v>
      </c>
      <c r="E4" s="3" t="n">
        <v>164.38</v>
      </c>
      <c r="F4" s="3" t="n">
        <v>183.96</v>
      </c>
      <c r="G4" s="3" t="n">
        <v>2.31</v>
      </c>
      <c r="H4" s="3" t="n">
        <v>-24.4</v>
      </c>
      <c r="I4" s="3" t="n">
        <v>3.2</v>
      </c>
      <c r="J4" s="3" t="n">
        <v>2.25</v>
      </c>
      <c r="K4" s="3" t="n">
        <v>-0.95</v>
      </c>
      <c r="L4" s="3" t="n">
        <v>2.38</v>
      </c>
      <c r="M4" s="3" t="n">
        <v>-1.2</v>
      </c>
      <c r="N4" s="3" t="n">
        <v>20.54</v>
      </c>
      <c r="O4" s="3" t="n">
        <v>17.62</v>
      </c>
      <c r="P4" s="3" t="n">
        <v>21.88</v>
      </c>
      <c r="Q4" s="3" t="n">
        <v>3181.71</v>
      </c>
      <c r="R4" s="3" t="n">
        <v>3.69</v>
      </c>
      <c r="S4" s="3" t="n">
        <v>11.91</v>
      </c>
      <c r="T4" s="3" t="n">
        <v>32.33</v>
      </c>
      <c r="U4" s="3" t="n">
        <v>37.35</v>
      </c>
      <c r="V4" s="3" t="n">
        <v>69.31</v>
      </c>
      <c r="W4" s="3" t="n">
        <v>37.7</v>
      </c>
      <c r="X4" s="3" t="n">
        <v>2.1</v>
      </c>
      <c r="Y4" s="3" t="n">
        <v>61.37</v>
      </c>
      <c r="Z4" s="3" t="n">
        <v>1.26</v>
      </c>
      <c r="AA4" s="3" t="n">
        <v>-2.22</v>
      </c>
      <c r="AB4" s="3" t="n">
        <v>0.51</v>
      </c>
      <c r="AC4" s="3" t="n">
        <v/>
      </c>
      <c r="AD4" s="3" t="n">
        <v>5.33</v>
      </c>
      <c r="AE4" s="3" t="n">
        <v>57.44</v>
      </c>
    </row>
    <row r="5">
      <c r="A5" s="4" t="inlineStr">
        <is>
          <t>2025-09-25 11:51:16</t>
        </is>
      </c>
      <c r="B5" s="5" t="n">
        <v>83.09999999999999</v>
      </c>
      <c r="C5" s="5" t="n">
        <v>112.64</v>
      </c>
      <c r="D5" s="5" t="n">
        <v>1.36</v>
      </c>
      <c r="E5" s="5" t="n">
        <v>167.75</v>
      </c>
      <c r="F5" s="5" t="n">
        <v>193.77</v>
      </c>
      <c r="G5" s="5" t="n">
        <v>0.76</v>
      </c>
      <c r="H5" s="5" t="n">
        <v>-12.51</v>
      </c>
      <c r="I5" s="5" t="n">
        <v>4</v>
      </c>
      <c r="J5" s="5" t="n">
        <v>-0.54</v>
      </c>
      <c r="K5" s="5" t="n">
        <v>-4.54</v>
      </c>
      <c r="L5" s="5" t="n">
        <v>0.07000000000000001</v>
      </c>
      <c r="M5" s="5" t="n">
        <v>-0.2</v>
      </c>
      <c r="N5" s="5" t="n">
        <v>17.59</v>
      </c>
      <c r="O5" s="5" t="n">
        <v>15.27</v>
      </c>
      <c r="P5" s="5" t="n">
        <v>18.52</v>
      </c>
      <c r="Q5" s="5" t="n">
        <v>2676.56</v>
      </c>
      <c r="R5" s="5" t="n">
        <v>-7.94</v>
      </c>
      <c r="S5" s="5" t="n">
        <v>-22.87</v>
      </c>
      <c r="T5" s="5" t="n">
        <v>-22.23</v>
      </c>
      <c r="U5" s="5" t="n">
        <v>-29.01</v>
      </c>
      <c r="V5" s="5" t="n">
        <v>56.65</v>
      </c>
      <c r="W5" s="5" t="n">
        <v>31.74</v>
      </c>
      <c r="X5" s="5" t="n">
        <v>3.42</v>
      </c>
      <c r="Y5" s="5" t="n">
        <v>62.79</v>
      </c>
      <c r="Z5" s="5" t="n">
        <v>1.25</v>
      </c>
      <c r="AA5" s="5" t="n">
        <v>-13.51</v>
      </c>
      <c r="AB5" s="5" t="n">
        <v>-0.43</v>
      </c>
      <c r="AC5" s="5" t="n">
        <v/>
      </c>
      <c r="AD5" s="5" t="n">
        <v>4.95</v>
      </c>
      <c r="AE5" s="5" t="n">
        <v>56.01</v>
      </c>
    </row>
    <row r="6">
      <c r="A6" s="2" t="inlineStr">
        <is>
          <t>2025-09-25 11:51:37</t>
        </is>
      </c>
      <c r="B6" s="3" t="n">
        <v>84.28</v>
      </c>
      <c r="C6" s="3" t="n">
        <v>104.57</v>
      </c>
      <c r="D6" s="3" t="n">
        <v>1.24</v>
      </c>
      <c r="E6" s="3" t="n">
        <v>150.98</v>
      </c>
      <c r="F6" s="3" t="n">
        <v>179.89</v>
      </c>
      <c r="G6" s="3" t="n">
        <v>3.26</v>
      </c>
      <c r="H6" s="3" t="n">
        <v>-22.36</v>
      </c>
      <c r="I6" s="3" t="n">
        <v>5.8</v>
      </c>
      <c r="J6" s="3" t="n">
        <v>2.71</v>
      </c>
      <c r="K6" s="3" t="n">
        <v>-3.09</v>
      </c>
      <c r="L6" s="3" t="n">
        <v>3.08</v>
      </c>
      <c r="M6" s="3" t="n">
        <v>0.2</v>
      </c>
      <c r="N6" s="3" t="n">
        <v>18.87</v>
      </c>
      <c r="O6" s="3" t="n">
        <v>16.75</v>
      </c>
      <c r="P6" s="3" t="n">
        <v>18.93</v>
      </c>
      <c r="Q6" s="3" t="n">
        <v>2237.08</v>
      </c>
      <c r="R6" s="3" t="n">
        <v>-2.61</v>
      </c>
      <c r="S6" s="3" t="n">
        <v>-5.53</v>
      </c>
      <c r="T6" s="3" t="n">
        <v>18.78</v>
      </c>
      <c r="U6" s="3" t="n">
        <v>21.37</v>
      </c>
      <c r="V6" s="3" t="n">
        <v>50.06</v>
      </c>
      <c r="W6" s="3" t="n">
        <v>29.78</v>
      </c>
      <c r="X6" s="3" t="n">
        <v>5.49</v>
      </c>
      <c r="Y6" s="3" t="n">
        <v>68.09</v>
      </c>
      <c r="Z6" s="3" t="n">
        <v>1.18</v>
      </c>
      <c r="AA6" s="3" t="n">
        <v>-8.82</v>
      </c>
      <c r="AB6" s="3" t="n">
        <v>-0.98</v>
      </c>
      <c r="AC6" s="3" t="n">
        <v/>
      </c>
      <c r="AD6" s="3" t="n">
        <v>4.5</v>
      </c>
      <c r="AE6" s="3" t="n">
        <v>55.17</v>
      </c>
    </row>
    <row r="7">
      <c r="A7" s="4" t="inlineStr">
        <is>
          <t>2025-09-25 11:52:06</t>
        </is>
      </c>
      <c r="B7" s="5" t="n">
        <v>84.90000000000001</v>
      </c>
      <c r="C7" s="5" t="n">
        <v>105.98</v>
      </c>
      <c r="D7" s="5" t="n">
        <v>1.25</v>
      </c>
      <c r="E7" s="5" t="n">
        <v>150.17</v>
      </c>
      <c r="F7" s="5" t="n">
        <v>182.16</v>
      </c>
      <c r="G7" s="5" t="n">
        <v/>
      </c>
      <c r="H7" s="5" t="n">
        <v/>
      </c>
      <c r="I7" s="5" t="n">
        <v>2.6</v>
      </c>
      <c r="J7" s="5" t="n">
        <v>-0.55</v>
      </c>
      <c r="K7" s="5" t="n">
        <v>-3.15</v>
      </c>
      <c r="L7" s="5" t="n">
        <v>-0.18</v>
      </c>
      <c r="M7" s="5" t="n">
        <v>0.6</v>
      </c>
      <c r="N7" s="5" t="n">
        <v>17.75</v>
      </c>
      <c r="O7" s="5" t="n">
        <v>15.81</v>
      </c>
      <c r="P7" s="5" t="n">
        <v>17.45</v>
      </c>
      <c r="Q7" s="5" t="n">
        <v>2081</v>
      </c>
      <c r="R7" s="5" t="n">
        <v>-8.26</v>
      </c>
      <c r="S7" s="5" t="n">
        <v>-16.05</v>
      </c>
      <c r="T7" s="5" t="n">
        <v>-17.46</v>
      </c>
      <c r="U7" s="5" t="n">
        <v>-24.49</v>
      </c>
      <c r="V7" s="5" t="n">
        <v>45.7</v>
      </c>
      <c r="W7" s="5" t="n">
        <v>27.52</v>
      </c>
      <c r="X7" s="5" t="n">
        <v>2.43</v>
      </c>
      <c r="Y7" s="5" t="n">
        <v>70.81999999999999</v>
      </c>
      <c r="Z7" s="5" t="n">
        <v>1.18</v>
      </c>
      <c r="AA7" s="5" t="n">
        <v>-9.82</v>
      </c>
      <c r="AB7" s="5" t="n">
        <v>-1.38</v>
      </c>
      <c r="AC7" s="5" t="n">
        <v/>
      </c>
      <c r="AD7" s="5" t="n">
        <v>4.3</v>
      </c>
      <c r="AE7" s="5" t="n">
        <v/>
      </c>
    </row>
    <row r="8">
      <c r="A8" s="2" t="inlineStr">
        <is>
          <t>2025-09-25 11:52:32</t>
        </is>
      </c>
      <c r="B8" s="3" t="n">
        <v>80.25</v>
      </c>
      <c r="C8" s="3" t="n">
        <v>115.23</v>
      </c>
      <c r="D8" s="3" t="n">
        <v>1.44</v>
      </c>
      <c r="E8" s="3" t="n">
        <v>172.91</v>
      </c>
      <c r="F8" s="3" t="n">
        <v>194.9</v>
      </c>
      <c r="G8" s="3" t="n">
        <v>-1.18</v>
      </c>
      <c r="H8" s="3" t="n">
        <v>-9.5</v>
      </c>
      <c r="I8" s="3" t="n">
        <v>1.4</v>
      </c>
      <c r="J8" s="3" t="n">
        <v>-2.94</v>
      </c>
      <c r="K8" s="3" t="n">
        <v>-4.34</v>
      </c>
      <c r="L8" s="3" t="n">
        <v>-2.29</v>
      </c>
      <c r="M8" s="3" t="n">
        <v>-0.8</v>
      </c>
      <c r="N8" s="3" t="n">
        <v>17.83</v>
      </c>
      <c r="O8" s="3" t="n">
        <v>15.15</v>
      </c>
      <c r="P8" s="3" t="n">
        <v>19.13</v>
      </c>
      <c r="Q8" s="3" t="n">
        <v>3144.49</v>
      </c>
      <c r="R8" s="3" t="n">
        <v>-7.97</v>
      </c>
      <c r="S8" s="3" t="n">
        <v>-27.18</v>
      </c>
      <c r="T8" s="3" t="n">
        <v>-47.87</v>
      </c>
      <c r="U8" s="3" t="n">
        <v>-57.01</v>
      </c>
      <c r="V8" s="3" t="n">
        <v>64.05</v>
      </c>
      <c r="W8" s="3" t="n">
        <v>34.98</v>
      </c>
      <c r="X8" s="3" t="n">
        <v>0.48</v>
      </c>
      <c r="Y8" s="3" t="n">
        <v>57.17</v>
      </c>
      <c r="Z8" s="3" t="n">
        <v>1.27</v>
      </c>
      <c r="AA8" s="3" t="n">
        <v>-12.49</v>
      </c>
      <c r="AB8" s="3" t="n">
        <v>0.08</v>
      </c>
      <c r="AC8" s="3" t="n">
        <v/>
      </c>
      <c r="AD8" s="3" t="n">
        <v>5.28</v>
      </c>
      <c r="AE8" s="3" t="n">
        <v>56.69</v>
      </c>
    </row>
    <row r="9">
      <c r="A9" s="4" t="inlineStr">
        <is>
          <t>2025-09-25 11:53:16</t>
        </is>
      </c>
      <c r="B9" s="5" t="n">
        <v>81.98999999999999</v>
      </c>
      <c r="C9" s="5" t="n">
        <v>108.85</v>
      </c>
      <c r="D9" s="5" t="n">
        <v>1.33</v>
      </c>
      <c r="E9" s="5" t="n">
        <v>163.95</v>
      </c>
      <c r="F9" s="5" t="n">
        <v>187.57</v>
      </c>
      <c r="G9" s="5" t="n">
        <v>1.68</v>
      </c>
      <c r="H9" s="5" t="n">
        <v>-12.71</v>
      </c>
      <c r="I9" s="5" t="n">
        <v>2.8</v>
      </c>
      <c r="J9" s="5" t="n">
        <v>1.49</v>
      </c>
      <c r="K9" s="5" t="n">
        <v>-1.31</v>
      </c>
      <c r="L9" s="5" t="n">
        <v>1.64</v>
      </c>
      <c r="M9" s="5" t="n">
        <v>-0.2</v>
      </c>
      <c r="N9" s="5" t="n">
        <v>19.94</v>
      </c>
      <c r="O9" s="5" t="n">
        <v>17.5</v>
      </c>
      <c r="P9" s="5" t="n">
        <v>20.22</v>
      </c>
      <c r="Q9" s="5" t="n">
        <v>2639</v>
      </c>
      <c r="R9" s="5" t="n">
        <v>0.33</v>
      </c>
      <c r="S9" s="5" t="n">
        <v>0.92</v>
      </c>
      <c r="T9" s="5" t="n">
        <v>15.01</v>
      </c>
      <c r="U9" s="5" t="n">
        <v>17.29</v>
      </c>
      <c r="V9" s="5" t="n">
        <v>62.9</v>
      </c>
      <c r="W9" s="5" t="n">
        <v>34.56</v>
      </c>
      <c r="X9" s="5" t="n">
        <v>2.23</v>
      </c>
      <c r="Y9" s="5" t="n">
        <v>58.78</v>
      </c>
      <c r="Z9" s="5" t="n">
        <v>1.26</v>
      </c>
      <c r="AA9" s="5" t="n">
        <v>-3.31</v>
      </c>
      <c r="AB9" s="5" t="n">
        <v>-0.55</v>
      </c>
      <c r="AC9" s="5" t="n">
        <v/>
      </c>
      <c r="AD9" s="5" t="n">
        <v>5.08</v>
      </c>
      <c r="AE9" s="5" t="n">
        <v>56.49</v>
      </c>
    </row>
    <row r="10">
      <c r="A10" s="2" t="inlineStr">
        <is>
          <t>2025-09-25 11:53:31</t>
        </is>
      </c>
      <c r="B10" s="3" t="n">
        <v>85.05</v>
      </c>
      <c r="C10" s="3" t="n">
        <v>106.96</v>
      </c>
      <c r="D10" s="3" t="n">
        <v>1.26</v>
      </c>
      <c r="E10" s="3" t="n">
        <v>158.03</v>
      </c>
      <c r="F10" s="3" t="n">
        <v>180.85</v>
      </c>
      <c r="G10" s="3" t="n">
        <v>-3.19</v>
      </c>
      <c r="H10" s="3" t="n">
        <v>-21.84</v>
      </c>
      <c r="I10" s="3" t="n">
        <v>3.4</v>
      </c>
      <c r="J10" s="3" t="n">
        <v>1.55</v>
      </c>
      <c r="K10" s="3" t="n">
        <v>-1.85</v>
      </c>
      <c r="L10" s="3" t="n">
        <v>1.85</v>
      </c>
      <c r="M10" s="3" t="n">
        <v>1.6</v>
      </c>
      <c r="N10" s="3" t="n">
        <v>19.67</v>
      </c>
      <c r="O10" s="3" t="n">
        <v>16.99</v>
      </c>
      <c r="P10" s="3" t="n">
        <v>18.19</v>
      </c>
      <c r="Q10" s="3" t="n">
        <v>2868</v>
      </c>
      <c r="R10" s="3" t="n">
        <v>0.54</v>
      </c>
      <c r="S10" s="3" t="n">
        <v>1.49</v>
      </c>
      <c r="T10" s="3" t="n">
        <v>16.79</v>
      </c>
      <c r="U10" s="3" t="n">
        <v>19.4</v>
      </c>
      <c r="V10" s="3" t="n">
        <v>59.85</v>
      </c>
      <c r="W10" s="3" t="n">
        <v>34.37</v>
      </c>
      <c r="X10" s="3" t="n">
        <v>3.96</v>
      </c>
      <c r="Y10" s="3" t="n">
        <v>62.98</v>
      </c>
      <c r="Z10" s="3" t="n">
        <v>1.32</v>
      </c>
      <c r="AA10" s="3" t="n">
        <v>-5.71</v>
      </c>
      <c r="AB10" s="3" t="n">
        <v>-2.48</v>
      </c>
      <c r="AC10" s="3" t="n">
        <v/>
      </c>
      <c r="AD10" s="3" t="n">
        <v>4.98</v>
      </c>
      <c r="AE10" s="3" t="n">
        <v>50.98</v>
      </c>
    </row>
    <row r="11">
      <c r="A11" s="4" t="inlineStr">
        <is>
          <t>2025-09-25 11:53:45</t>
        </is>
      </c>
      <c r="B11" s="5" t="n">
        <v>82.31</v>
      </c>
      <c r="C11" s="5" t="n">
        <v>104.21</v>
      </c>
      <c r="D11" s="5" t="n">
        <v>1.27</v>
      </c>
      <c r="E11" s="5" t="n">
        <v>152.47</v>
      </c>
      <c r="F11" s="5" t="n">
        <v>178.23</v>
      </c>
      <c r="G11" s="5" t="n">
        <v>2.02</v>
      </c>
      <c r="H11" s="5" t="n">
        <v>-16.78</v>
      </c>
      <c r="I11" s="5" t="n">
        <v>3.8</v>
      </c>
      <c r="J11" s="5" t="n">
        <v>2.35</v>
      </c>
      <c r="K11" s="5" t="n">
        <v>-1.45</v>
      </c>
      <c r="L11" s="5" t="n">
        <v>2.53</v>
      </c>
      <c r="M11" s="5" t="n">
        <v>0.8</v>
      </c>
      <c r="N11" s="5" t="n">
        <v>19.77</v>
      </c>
      <c r="O11" s="5" t="n">
        <v>17.37</v>
      </c>
      <c r="P11" s="5" t="n">
        <v>18.96</v>
      </c>
      <c r="Q11" s="5" t="n">
        <v>2483.83</v>
      </c>
      <c r="R11" s="5" t="n">
        <v>0.85</v>
      </c>
      <c r="S11" s="5" t="n">
        <v>2.01</v>
      </c>
      <c r="T11" s="5" t="n">
        <v>22.2</v>
      </c>
      <c r="U11" s="5" t="n">
        <v>26.26</v>
      </c>
      <c r="V11" s="5" t="n">
        <v>54.68</v>
      </c>
      <c r="W11" s="5" t="n">
        <v>32.1</v>
      </c>
      <c r="X11" s="5" t="n">
        <v>3.86</v>
      </c>
      <c r="Y11" s="5" t="n">
        <v>62.31</v>
      </c>
      <c r="Z11" s="5" t="n">
        <v>1.26</v>
      </c>
      <c r="AA11" s="5" t="n">
        <v>-3.95</v>
      </c>
      <c r="AB11" s="5" t="n">
        <v>-1.69</v>
      </c>
      <c r="AC11" s="5" t="n">
        <v/>
      </c>
      <c r="AD11" s="5" t="n">
        <v>4.72</v>
      </c>
      <c r="AE11" s="5" t="n">
        <v>54.25</v>
      </c>
    </row>
    <row r="12">
      <c r="A12" s="2" t="inlineStr">
        <is>
          <t>2025-09-25 11:54:08</t>
        </is>
      </c>
      <c r="B12" s="3" t="n">
        <v>83.94</v>
      </c>
      <c r="C12" s="3" t="n">
        <v>104.85</v>
      </c>
      <c r="D12" s="3" t="n">
        <v>1.25</v>
      </c>
      <c r="E12" s="3" t="n">
        <v>151.81</v>
      </c>
      <c r="F12" s="3" t="n">
        <v>181.61</v>
      </c>
      <c r="G12" s="3" t="n">
        <v>1.55</v>
      </c>
      <c r="H12" s="3" t="n">
        <v>-15.23</v>
      </c>
      <c r="I12" s="3" t="n">
        <v>5.6</v>
      </c>
      <c r="J12" s="3" t="n">
        <v>4.96</v>
      </c>
      <c r="K12" s="3" t="n">
        <v>-0.64</v>
      </c>
      <c r="L12" s="3" t="n">
        <v>5.03</v>
      </c>
      <c r="M12" s="3" t="n">
        <v>-0.4</v>
      </c>
      <c r="N12" s="3" t="n">
        <v>19.06</v>
      </c>
      <c r="O12" s="3" t="n">
        <v>17.05</v>
      </c>
      <c r="P12" s="3" t="n">
        <v>19.49</v>
      </c>
      <c r="Q12" s="3" t="n">
        <v>2095.01</v>
      </c>
      <c r="R12" s="3" t="n">
        <v>2.02</v>
      </c>
      <c r="S12" s="3" t="n">
        <v>4.12</v>
      </c>
      <c r="T12" s="3" t="n">
        <v>44.04</v>
      </c>
      <c r="U12" s="3" t="n">
        <v>53.44</v>
      </c>
      <c r="V12" s="3" t="n">
        <v>50.47</v>
      </c>
      <c r="W12" s="3" t="n">
        <v>29.63</v>
      </c>
      <c r="X12" s="3" t="n">
        <v>5.1</v>
      </c>
      <c r="Y12" s="3" t="n">
        <v>67.23</v>
      </c>
      <c r="Z12" s="3" t="n">
        <v>1.19</v>
      </c>
      <c r="AA12" s="3" t="n">
        <v>-1.75</v>
      </c>
      <c r="AB12" s="3" t="n">
        <v>-0.47</v>
      </c>
      <c r="AC12" s="3" t="n">
        <v/>
      </c>
      <c r="AD12" s="3" t="n">
        <v>4.48</v>
      </c>
      <c r="AE12" s="3" t="n">
        <v>55.07</v>
      </c>
    </row>
    <row r="13">
      <c r="A13" s="4" t="inlineStr">
        <is>
          <t>2025-09-25 11:57:10</t>
        </is>
      </c>
      <c r="B13" s="5" t="n">
        <v>83.14</v>
      </c>
      <c r="C13" s="5" t="n">
        <v>118.41</v>
      </c>
      <c r="D13" s="5" t="n">
        <v>1.42</v>
      </c>
      <c r="E13" s="5" t="n">
        <v>176.9</v>
      </c>
      <c r="F13" s="5" t="n">
        <v>194.81</v>
      </c>
      <c r="G13" s="5" t="n">
        <v>0.67</v>
      </c>
      <c r="H13" s="5" t="n">
        <v>-16.89</v>
      </c>
      <c r="I13" s="5" t="n">
        <v>4.1</v>
      </c>
      <c r="J13" s="5" t="n">
        <v>0.38</v>
      </c>
      <c r="K13" s="5" t="n">
        <v>-3.72</v>
      </c>
      <c r="L13" s="5" t="n">
        <v>0.98</v>
      </c>
      <c r="M13" s="5" t="n">
        <v>-3.1</v>
      </c>
      <c r="N13" s="5" t="n">
        <v>17.75</v>
      </c>
      <c r="O13" s="5" t="n">
        <v>14.57</v>
      </c>
      <c r="P13" s="5" t="n">
        <v>21.21</v>
      </c>
      <c r="Q13" s="5" t="n">
        <v>3799</v>
      </c>
      <c r="R13" s="5" t="n">
        <v>-3.55</v>
      </c>
      <c r="S13" s="5" t="n">
        <v>-14.16</v>
      </c>
      <c r="T13" s="5" t="n">
        <v>-5.11</v>
      </c>
      <c r="U13" s="5" t="n">
        <v>-6.83</v>
      </c>
      <c r="V13" s="5" t="n">
        <v>71.3</v>
      </c>
      <c r="W13" s="5" t="n">
        <v>38.18</v>
      </c>
      <c r="X13" s="5" t="n">
        <v>2.12</v>
      </c>
      <c r="Y13" s="5" t="n">
        <v>57.73</v>
      </c>
      <c r="Z13" s="5" t="n">
        <v>1.41</v>
      </c>
      <c r="AA13" s="5" t="n">
        <v>-9.83</v>
      </c>
      <c r="AB13" s="5" t="n">
        <v>3.58</v>
      </c>
      <c r="AC13" s="5" t="n">
        <v/>
      </c>
      <c r="AD13" s="5" t="n">
        <v>5.59</v>
      </c>
      <c r="AE13" s="5" t="n">
        <v>57.51</v>
      </c>
    </row>
    <row r="14">
      <c r="A14" s="2" t="inlineStr">
        <is>
          <t>2025-09-25 11:54:43</t>
        </is>
      </c>
      <c r="B14" s="3" t="n">
        <v>84.18000000000001</v>
      </c>
      <c r="C14" s="3" t="n">
        <v>116.88</v>
      </c>
      <c r="D14" s="3" t="n">
        <v>1.39</v>
      </c>
      <c r="E14" s="3" t="n">
        <v>172.99</v>
      </c>
      <c r="F14" s="3" t="n">
        <v>190.77</v>
      </c>
      <c r="G14" s="3" t="n">
        <v>0.05</v>
      </c>
      <c r="H14" s="3" t="n">
        <v>-27.12</v>
      </c>
      <c r="I14" s="3" t="n">
        <v>3.6</v>
      </c>
      <c r="J14" s="3" t="n">
        <v>-2.96</v>
      </c>
      <c r="K14" s="3" t="n">
        <v>-6.56</v>
      </c>
      <c r="L14" s="3" t="n">
        <v>-1.83</v>
      </c>
      <c r="M14" s="3" t="n">
        <v>-1.6</v>
      </c>
      <c r="N14" s="3" t="n">
        <v>17.77</v>
      </c>
      <c r="O14" s="3" t="n">
        <v>14.6</v>
      </c>
      <c r="P14" s="3" t="n">
        <v>20.52</v>
      </c>
      <c r="Q14" s="3" t="n">
        <v>3889</v>
      </c>
      <c r="R14" s="3" t="n">
        <v>-5.93</v>
      </c>
      <c r="S14" s="3" t="n">
        <v>-22.92</v>
      </c>
      <c r="T14" s="3" t="n">
        <v>-39.47</v>
      </c>
      <c r="U14" s="3" t="n">
        <v>-45.5</v>
      </c>
      <c r="V14" s="3" t="n">
        <v>69.27</v>
      </c>
      <c r="W14" s="3" t="n">
        <v>37.88</v>
      </c>
      <c r="X14" s="3" t="n">
        <v>2.09</v>
      </c>
      <c r="Y14" s="3" t="n">
        <v>54.74</v>
      </c>
      <c r="Z14" s="3" t="n">
        <v>1.28</v>
      </c>
      <c r="AA14" s="3" t="n">
        <v>-18.11</v>
      </c>
      <c r="AB14" s="3" t="n">
        <v>1.1</v>
      </c>
      <c r="AC14" s="3" t="n">
        <v/>
      </c>
      <c r="AD14" s="3" t="n">
        <v>5.51</v>
      </c>
      <c r="AE14" s="3" t="n">
        <v>57.7</v>
      </c>
    </row>
    <row r="15">
      <c r="A15" s="4" t="inlineStr">
        <is>
          <t>2025-09-25 11:55:01</t>
        </is>
      </c>
      <c r="B15" s="5" t="n">
        <v>84.91</v>
      </c>
      <c r="C15" s="5" t="n">
        <v>111.76</v>
      </c>
      <c r="D15" s="5" t="n">
        <v>1.32</v>
      </c>
      <c r="E15" s="5" t="n">
        <v>166.74</v>
      </c>
      <c r="F15" s="5" t="n">
        <v>184.54</v>
      </c>
      <c r="G15" s="5" t="n">
        <v>2.34</v>
      </c>
      <c r="H15" s="5" t="n">
        <v>-25.28</v>
      </c>
      <c r="I15" s="5" t="n">
        <v>3</v>
      </c>
      <c r="J15" s="5" t="n">
        <v>-0.12</v>
      </c>
      <c r="K15" s="5" t="n">
        <v>-3.12</v>
      </c>
      <c r="L15" s="5" t="n">
        <v>0.37</v>
      </c>
      <c r="M15" s="5" t="n">
        <v>-1.6</v>
      </c>
      <c r="N15" s="5" t="n">
        <v>20.23</v>
      </c>
      <c r="O15" s="5" t="n">
        <v>17.08</v>
      </c>
      <c r="P15" s="5" t="n">
        <v>22.17</v>
      </c>
      <c r="Q15" s="5" t="n">
        <v>3536.25</v>
      </c>
      <c r="R15" s="5" t="n">
        <v>-0.75</v>
      </c>
      <c r="S15" s="5" t="n">
        <v>-2.63</v>
      </c>
      <c r="T15" s="5" t="n">
        <v>0.61</v>
      </c>
      <c r="U15" s="5" t="n">
        <v>0.45</v>
      </c>
      <c r="V15" s="5" t="n">
        <v>72.25</v>
      </c>
      <c r="W15" s="5" t="n">
        <v>38.98</v>
      </c>
      <c r="X15" s="5" t="n">
        <v>1.8</v>
      </c>
      <c r="Y15" s="5" t="n">
        <v>61.3</v>
      </c>
      <c r="Z15" s="5" t="n">
        <v>1.26</v>
      </c>
      <c r="AA15" s="5" t="n">
        <v>-7.89</v>
      </c>
      <c r="AB15" s="5" t="n">
        <v>0.91</v>
      </c>
      <c r="AC15" s="5" t="n">
        <v/>
      </c>
      <c r="AD15" s="5" t="n">
        <v>5.47</v>
      </c>
      <c r="AE15" s="5" t="n">
        <v>57.19</v>
      </c>
    </row>
    <row r="16">
      <c r="A16" s="2" t="inlineStr">
        <is>
          <t>2025-09-25 11:56:37</t>
        </is>
      </c>
      <c r="B16" s="3" t="n">
        <v>84.2</v>
      </c>
      <c r="C16" s="3" t="n">
        <v>105.77</v>
      </c>
      <c r="D16" s="3" t="n">
        <v>1.26</v>
      </c>
      <c r="E16" s="3" t="n">
        <v>154.83</v>
      </c>
      <c r="F16" s="3" t="n">
        <v>183.11</v>
      </c>
      <c r="G16" s="3" t="n">
        <v>4.19</v>
      </c>
      <c r="H16" s="3" t="n">
        <v>-19.12</v>
      </c>
      <c r="I16" s="3" t="n">
        <v>4.6</v>
      </c>
      <c r="J16" s="3" t="n">
        <v>1.98</v>
      </c>
      <c r="K16" s="3" t="n">
        <v>-2.62</v>
      </c>
      <c r="L16" s="3" t="n">
        <v>2.27</v>
      </c>
      <c r="M16" s="3" t="n">
        <v>-0.6</v>
      </c>
      <c r="N16" s="3" t="n">
        <v>19.18</v>
      </c>
      <c r="O16" s="3" t="n">
        <v>17.06</v>
      </c>
      <c r="P16" s="3" t="n">
        <v>19.99</v>
      </c>
      <c r="Q16" s="3" t="n">
        <v>2238.51</v>
      </c>
      <c r="R16" s="3" t="n">
        <v>-2.12</v>
      </c>
      <c r="S16" s="3" t="n">
        <v>-4.71</v>
      </c>
      <c r="T16" s="3" t="n">
        <v>13.71</v>
      </c>
      <c r="U16" s="3" t="n">
        <v>15.41</v>
      </c>
      <c r="V16" s="3" t="n">
        <v>52.92</v>
      </c>
      <c r="W16" s="3" t="n">
        <v>30.64</v>
      </c>
      <c r="X16" s="3" t="n">
        <v>3.97</v>
      </c>
      <c r="Y16" s="3" t="n">
        <v>67.08</v>
      </c>
      <c r="Z16" s="3" t="n">
        <v>1.21</v>
      </c>
      <c r="AA16" s="3" t="n">
        <v>-7.11</v>
      </c>
      <c r="AB16" s="3" t="n">
        <v>-0.24</v>
      </c>
      <c r="AC16" s="3" t="n">
        <v/>
      </c>
      <c r="AD16" s="3" t="n">
        <v>4.62</v>
      </c>
      <c r="AE16" s="3" t="n">
        <v>57.04</v>
      </c>
    </row>
    <row r="17">
      <c r="A17" s="4" t="inlineStr">
        <is>
          <t>2025-09-25 11:55:43</t>
        </is>
      </c>
      <c r="B17" s="5" t="n">
        <v>84.41</v>
      </c>
      <c r="C17" s="5" t="n">
        <v>109.28</v>
      </c>
      <c r="D17" s="5" t="n">
        <v>1.29</v>
      </c>
      <c r="E17" s="5" t="n">
        <v>164.75</v>
      </c>
      <c r="F17" s="5" t="n">
        <v>187.75</v>
      </c>
      <c r="G17" s="5" t="n">
        <v>4.28</v>
      </c>
      <c r="H17" s="5" t="n">
        <v>-18.66</v>
      </c>
      <c r="I17" s="5" t="n">
        <v>3.2</v>
      </c>
      <c r="J17" s="5" t="n">
        <v>3.02</v>
      </c>
      <c r="K17" s="5" t="n">
        <v>-0.18</v>
      </c>
      <c r="L17" s="5" t="n">
        <v>3.04</v>
      </c>
      <c r="M17" s="5" t="n">
        <v>0</v>
      </c>
      <c r="N17" s="5" t="n">
        <v>20.07</v>
      </c>
      <c r="O17" s="5" t="n">
        <v>17.58</v>
      </c>
      <c r="P17" s="5" t="n">
        <v>20.01</v>
      </c>
      <c r="Q17" s="5" t="n">
        <v>2705.91</v>
      </c>
      <c r="R17" s="5" t="n">
        <v>5.51</v>
      </c>
      <c r="S17" s="5" t="n">
        <v>15.97</v>
      </c>
      <c r="T17" s="5" t="n">
        <v>42.13</v>
      </c>
      <c r="U17" s="5" t="n">
        <v>49.96</v>
      </c>
      <c r="V17" s="5" t="n">
        <v>64.28</v>
      </c>
      <c r="W17" s="5" t="n">
        <v>35.09</v>
      </c>
      <c r="X17" s="5" t="n">
        <v>2.91</v>
      </c>
      <c r="Y17" s="5" t="n">
        <v>60.42</v>
      </c>
      <c r="Z17" s="5" t="n">
        <v>1.25</v>
      </c>
      <c r="AA17" s="5" t="n">
        <v>-0.45</v>
      </c>
      <c r="AB17" s="5" t="n">
        <v>-0.87</v>
      </c>
      <c r="AC17" s="5" t="n">
        <v/>
      </c>
      <c r="AD17" s="5" t="n">
        <v>5.13</v>
      </c>
      <c r="AE17" s="5" t="n">
        <v>55.89</v>
      </c>
    </row>
    <row r="18">
      <c r="A18" s="2" t="inlineStr">
        <is>
          <t>2025-09-25 11:55:58</t>
        </is>
      </c>
      <c r="B18" s="3" t="n">
        <v>83.27</v>
      </c>
      <c r="C18" s="3" t="n">
        <v>101.85</v>
      </c>
      <c r="D18" s="3" t="n">
        <v>1.22</v>
      </c>
      <c r="E18" s="3" t="n">
        <v>144.44</v>
      </c>
      <c r="F18" s="3" t="n">
        <v>173.86</v>
      </c>
      <c r="G18" s="3" t="n">
        <v>4.5</v>
      </c>
      <c r="H18" s="3" t="n">
        <v>-17.15</v>
      </c>
      <c r="I18" s="3" t="n">
        <v>4.6</v>
      </c>
      <c r="J18" s="3" t="n">
        <v>4.37</v>
      </c>
      <c r="K18" s="3" t="n">
        <v>-0.23</v>
      </c>
      <c r="L18" s="3" t="n">
        <v>4.4</v>
      </c>
      <c r="M18" s="3" t="n">
        <v>1</v>
      </c>
      <c r="N18" s="3" t="n">
        <v>19.1</v>
      </c>
      <c r="O18" s="3" t="n">
        <v>16.94</v>
      </c>
      <c r="P18" s="3" t="n">
        <v>18.17</v>
      </c>
      <c r="Q18" s="3" t="n">
        <v>2182.23</v>
      </c>
      <c r="R18" s="3" t="n">
        <v>3.47</v>
      </c>
      <c r="S18" s="3" t="n">
        <v>6.69</v>
      </c>
      <c r="T18" s="3" t="n">
        <v>39.92</v>
      </c>
      <c r="U18" s="3" t="n">
        <v>49.33</v>
      </c>
      <c r="V18" s="3" t="n">
        <v>47.29</v>
      </c>
      <c r="W18" s="3" t="n">
        <v>29.14</v>
      </c>
      <c r="X18" s="3" t="n">
        <v>4.81</v>
      </c>
      <c r="Y18" s="3" t="n">
        <v>63.42</v>
      </c>
      <c r="Z18" s="3" t="n">
        <v>1.22</v>
      </c>
      <c r="AA18" s="3" t="n">
        <v>-0.86</v>
      </c>
      <c r="AB18" s="3" t="n">
        <v>-1.73</v>
      </c>
      <c r="AC18" s="3" t="n">
        <v/>
      </c>
      <c r="AD18" s="3" t="n">
        <v>4.34</v>
      </c>
      <c r="AE18" s="3" t="n">
        <v>55.15</v>
      </c>
    </row>
    <row r="19">
      <c r="A19" s="4" t="inlineStr">
        <is>
          <t>2025-09-25 11:58:50</t>
        </is>
      </c>
      <c r="B19" s="5" t="n">
        <v>85.09999999999999</v>
      </c>
      <c r="C19" s="5" t="n">
        <v>106.59</v>
      </c>
      <c r="D19" s="5" t="n">
        <v>1.25</v>
      </c>
      <c r="E19" s="5" t="n">
        <v>156.31</v>
      </c>
      <c r="F19" s="5" t="n">
        <v>185.79</v>
      </c>
      <c r="G19" s="5" t="n">
        <v>3.21</v>
      </c>
      <c r="H19" s="5" t="n">
        <v>-14.97</v>
      </c>
      <c r="I19" s="5" t="n">
        <v>4.8</v>
      </c>
      <c r="J19" s="5" t="n">
        <v>3.63</v>
      </c>
      <c r="K19" s="5" t="n">
        <v>-1.17</v>
      </c>
      <c r="L19" s="5" t="n">
        <v>3.77</v>
      </c>
      <c r="M19" s="5" t="n">
        <v>-0.6</v>
      </c>
      <c r="N19" s="5" t="n">
        <v>19.07</v>
      </c>
      <c r="O19" s="5" t="n">
        <v>17.09</v>
      </c>
      <c r="P19" s="5" t="n">
        <v>19.75</v>
      </c>
      <c r="Q19" s="5" t="n">
        <v>2102.49</v>
      </c>
      <c r="R19" s="5" t="n">
        <v>-0.07000000000000001</v>
      </c>
      <c r="S19" s="5" t="n">
        <v>-0.15</v>
      </c>
      <c r="T19" s="5" t="n">
        <v>30.69</v>
      </c>
      <c r="U19" s="5" t="n">
        <v>36.45</v>
      </c>
      <c r="V19" s="5" t="n">
        <v>52.74</v>
      </c>
      <c r="W19" s="5" t="n">
        <v>30.16</v>
      </c>
      <c r="X19" s="5" t="n">
        <v>4.32</v>
      </c>
      <c r="Y19" s="5" t="n">
        <v>68.29000000000001</v>
      </c>
      <c r="Z19" s="5" t="n">
        <v>1.14</v>
      </c>
      <c r="AA19" s="5" t="n">
        <v>-3.52</v>
      </c>
      <c r="AB19" s="5" t="n">
        <v>-0.31</v>
      </c>
      <c r="AC19" s="5" t="n">
        <v/>
      </c>
      <c r="AD19" s="5" t="n">
        <v>4.59</v>
      </c>
      <c r="AE19" s="5" t="n">
        <v>56.37</v>
      </c>
    </row>
    <row r="20">
      <c r="A20" s="2" t="inlineStr">
        <is>
          <t>2025-09-25 11:56:14</t>
        </is>
      </c>
      <c r="B20" s="3" t="n">
        <v>83.19</v>
      </c>
      <c r="C20" s="3" t="n">
        <v>100.08</v>
      </c>
      <c r="D20" s="3" t="n">
        <v>1.2</v>
      </c>
      <c r="E20" s="3" t="n">
        <v>140.31</v>
      </c>
      <c r="F20" s="3" t="n">
        <v>170.17</v>
      </c>
      <c r="G20" s="3" t="n">
        <v>3.75</v>
      </c>
      <c r="H20" s="3" t="n">
        <v>-24.64</v>
      </c>
      <c r="I20" s="3" t="n">
        <v>6.8</v>
      </c>
      <c r="J20" s="3" t="n">
        <v>3.22</v>
      </c>
      <c r="K20" s="3" t="n">
        <v>-3.58</v>
      </c>
      <c r="L20" s="3" t="n">
        <v>3.64</v>
      </c>
      <c r="M20" s="3" t="n">
        <v>0.6</v>
      </c>
      <c r="N20" s="3" t="n">
        <v>19.24</v>
      </c>
      <c r="O20" s="3" t="n">
        <v>17.15</v>
      </c>
      <c r="P20" s="3" t="n">
        <v>18.89</v>
      </c>
      <c r="Q20" s="3" t="n">
        <v>2116.22</v>
      </c>
      <c r="R20" s="3" t="n">
        <v>-2.96</v>
      </c>
      <c r="S20" s="3" t="n">
        <v>-5.31</v>
      </c>
      <c r="T20" s="3" t="n">
        <v>21.4</v>
      </c>
      <c r="U20" s="3" t="n">
        <v>24.9</v>
      </c>
      <c r="V20" s="3" t="n">
        <v>45.68</v>
      </c>
      <c r="W20" s="3" t="n">
        <v>28.74</v>
      </c>
      <c r="X20" s="3" t="n">
        <v>6.66</v>
      </c>
      <c r="Y20" s="3" t="n">
        <v>70.95999999999999</v>
      </c>
      <c r="Z20" s="3" t="n">
        <v>1.2</v>
      </c>
      <c r="AA20" s="3" t="n">
        <v>-10.28</v>
      </c>
      <c r="AB20" s="3" t="n">
        <v>-1.46</v>
      </c>
      <c r="AC20" s="3" t="n">
        <v/>
      </c>
      <c r="AD20" s="3" t="n">
        <v>4.24</v>
      </c>
      <c r="AE20" s="3" t="n">
        <v>54.71</v>
      </c>
    </row>
    <row r="21">
      <c r="A21" s="4" t="inlineStr">
        <is>
          <t>2025-09-25 11:59:27</t>
        </is>
      </c>
      <c r="B21" s="5" t="n">
        <v>84.01000000000001</v>
      </c>
      <c r="C21" s="5" t="n">
        <v>106.23</v>
      </c>
      <c r="D21" s="5" t="n">
        <v>1.26</v>
      </c>
      <c r="E21" s="5" t="n">
        <v>156.04</v>
      </c>
      <c r="F21" s="5" t="n">
        <v>183.53</v>
      </c>
      <c r="G21" s="5" t="n">
        <v>1.84</v>
      </c>
      <c r="H21" s="5" t="n">
        <v>-20.73</v>
      </c>
      <c r="I21" s="5" t="n">
        <v>3.8</v>
      </c>
      <c r="J21" s="5" t="n">
        <v>4.56</v>
      </c>
      <c r="K21" s="5" t="n">
        <v>0.76</v>
      </c>
      <c r="L21" s="5" t="n">
        <v>4.46</v>
      </c>
      <c r="M21" s="5" t="n">
        <v>-0.2</v>
      </c>
      <c r="N21" s="5" t="n">
        <v>19.31</v>
      </c>
      <c r="O21" s="5" t="n">
        <v>17.11</v>
      </c>
      <c r="P21" s="5" t="n">
        <v>19.58</v>
      </c>
      <c r="Q21" s="5" t="n">
        <v>2321</v>
      </c>
      <c r="R21" s="5" t="n">
        <v>6.69</v>
      </c>
      <c r="S21" s="5" t="n">
        <v>15.54</v>
      </c>
      <c r="T21" s="5" t="n">
        <v>51.89</v>
      </c>
      <c r="U21" s="5" t="n">
        <v>63.56</v>
      </c>
      <c r="V21" s="5" t="n">
        <v>54.2</v>
      </c>
      <c r="W21" s="5" t="n">
        <v>31.18</v>
      </c>
      <c r="X21" s="5" t="n">
        <v>3.33</v>
      </c>
      <c r="Y21" s="5" t="n">
        <v>63.79</v>
      </c>
      <c r="Z21" s="5" t="n">
        <v>1.25</v>
      </c>
      <c r="AA21" s="5" t="n">
        <v>2.25</v>
      </c>
      <c r="AB21" s="5" t="n">
        <v>-0.59</v>
      </c>
      <c r="AC21" s="5" t="n">
        <v/>
      </c>
      <c r="AD21" s="5" t="n">
        <v>4.69</v>
      </c>
      <c r="AE21" s="5" t="n">
        <v>56.35</v>
      </c>
    </row>
    <row r="22">
      <c r="A22" s="2" t="inlineStr">
        <is>
          <t>2025-09-25 11:56:55</t>
        </is>
      </c>
      <c r="B22" s="3" t="n">
        <v>84.81</v>
      </c>
      <c r="C22" s="3" t="n">
        <v>98.36</v>
      </c>
      <c r="D22" s="3" t="n">
        <v>1.16</v>
      </c>
      <c r="E22" s="3" t="n">
        <v>134.49</v>
      </c>
      <c r="F22" s="3" t="n">
        <v>164.69</v>
      </c>
      <c r="G22" s="3" t="n">
        <v>6.96</v>
      </c>
      <c r="H22" s="3" t="n">
        <v>-30.22</v>
      </c>
      <c r="I22" s="3" t="n">
        <v>7.6</v>
      </c>
      <c r="J22" s="3" t="n">
        <v>5.64</v>
      </c>
      <c r="K22" s="3" t="n">
        <v>-1.96</v>
      </c>
      <c r="L22" s="3" t="n">
        <v>5.89</v>
      </c>
      <c r="M22" s="3" t="n">
        <v>0.6</v>
      </c>
      <c r="N22" s="3" t="n">
        <v>18.63</v>
      </c>
      <c r="O22" s="3" t="n">
        <v>16.36</v>
      </c>
      <c r="P22" s="3" t="n">
        <v>18.15</v>
      </c>
      <c r="Q22" s="3" t="n">
        <v>2236.48</v>
      </c>
      <c r="R22" s="3" t="n">
        <v>2.29</v>
      </c>
      <c r="S22" s="3" t="n">
        <v>3.93</v>
      </c>
      <c r="T22" s="3" t="n">
        <v>45.31</v>
      </c>
      <c r="U22" s="3" t="n">
        <v>56.33</v>
      </c>
      <c r="V22" s="3" t="n">
        <v>41.61</v>
      </c>
      <c r="W22" s="3" t="n">
        <v>27.56</v>
      </c>
      <c r="X22" s="3" t="n">
        <v>7.44</v>
      </c>
      <c r="Y22" s="3" t="n">
        <v>68.47</v>
      </c>
      <c r="Z22" s="3" t="n">
        <v>1.2</v>
      </c>
      <c r="AA22" s="3" t="n">
        <v>-5.69</v>
      </c>
      <c r="AB22" s="3" t="n">
        <v>-1.38</v>
      </c>
      <c r="AC22" s="3" t="n">
        <v/>
      </c>
      <c r="AD22" s="3" t="n">
        <v>4.08</v>
      </c>
      <c r="AE22" s="3" t="n">
        <v>55.73</v>
      </c>
    </row>
    <row r="23">
      <c r="A23" s="4" t="inlineStr">
        <is>
          <t>2025-09-25 11:58:05</t>
        </is>
      </c>
      <c r="B23" s="5" t="n">
        <v>84.81</v>
      </c>
      <c r="C23" s="5" t="n">
        <v>97.87</v>
      </c>
      <c r="D23" s="5" t="n">
        <v>1.15</v>
      </c>
      <c r="E23" s="5" t="n">
        <v>131.45</v>
      </c>
      <c r="F23" s="5" t="n">
        <v>162.92</v>
      </c>
      <c r="G23" s="5" t="n">
        <v>6.77</v>
      </c>
      <c r="H23" s="5" t="n">
        <v>-27.73</v>
      </c>
      <c r="I23" s="5" t="n">
        <v>6.2</v>
      </c>
      <c r="J23" s="5" t="n">
        <v>3.31</v>
      </c>
      <c r="K23" s="5" t="n">
        <v>-2.89</v>
      </c>
      <c r="L23" s="5" t="n">
        <v>3.72</v>
      </c>
      <c r="M23" s="5" t="n">
        <v>0.6</v>
      </c>
      <c r="N23" s="5" t="n">
        <v>18.04</v>
      </c>
      <c r="O23" s="5" t="n">
        <v>15.8</v>
      </c>
      <c r="P23" s="5" t="n">
        <v>17.59</v>
      </c>
      <c r="Q23" s="5" t="n">
        <v>2205.11</v>
      </c>
      <c r="R23" s="5" t="n">
        <v>-0.65</v>
      </c>
      <c r="S23" s="5" t="n">
        <v>-1.06</v>
      </c>
      <c r="T23" s="5" t="n">
        <v>24.5</v>
      </c>
      <c r="U23" s="5" t="n">
        <v>30.12</v>
      </c>
      <c r="V23" s="5" t="n">
        <v>38.76</v>
      </c>
      <c r="W23" s="5" t="n">
        <v>26.36</v>
      </c>
      <c r="X23" s="5" t="n">
        <v>6.19</v>
      </c>
      <c r="Y23" s="5" t="n">
        <v>73.65000000000001</v>
      </c>
      <c r="Z23" s="5" t="n">
        <v>1.2</v>
      </c>
      <c r="AA23" s="5" t="n">
        <v>-9.380000000000001</v>
      </c>
      <c r="AB23" s="5" t="n">
        <v>-1.5</v>
      </c>
      <c r="AC23" s="5" t="n">
        <v/>
      </c>
      <c r="AD23" s="5" t="n">
        <v>3.95</v>
      </c>
      <c r="AE23" s="5" t="n">
        <v>54.37</v>
      </c>
    </row>
    <row r="24">
      <c r="A24" s="2" t="inlineStr">
        <is>
          <t>2025-09-25 11:58:35</t>
        </is>
      </c>
      <c r="B24" s="3" t="n">
        <v>84.84999999999999</v>
      </c>
      <c r="C24" s="3" t="n">
        <v>110.99</v>
      </c>
      <c r="D24" s="3" t="n">
        <v>1.31</v>
      </c>
      <c r="E24" s="3" t="n">
        <v>167.3</v>
      </c>
      <c r="F24" s="3" t="n">
        <v>190.09</v>
      </c>
      <c r="G24" s="3" t="n">
        <v>0.3</v>
      </c>
      <c r="H24" s="3" t="n">
        <v>-17.61</v>
      </c>
      <c r="I24" s="3" t="n">
        <v>3.8</v>
      </c>
      <c r="J24" s="3" t="n">
        <v>3.99</v>
      </c>
      <c r="K24" s="3" t="n">
        <v>0.19</v>
      </c>
      <c r="L24" s="3" t="n">
        <v>3.97</v>
      </c>
      <c r="M24" s="3" t="n">
        <v>-1.2</v>
      </c>
      <c r="N24" s="3" t="n">
        <v>19.38</v>
      </c>
      <c r="O24" s="3" t="n">
        <v>16.82</v>
      </c>
      <c r="P24" s="3" t="n">
        <v>20.68</v>
      </c>
      <c r="Q24" s="3" t="n">
        <v>2822.16</v>
      </c>
      <c r="R24" s="3" t="n">
        <v>4.51</v>
      </c>
      <c r="S24" s="3" t="n">
        <v>13.74</v>
      </c>
      <c r="T24" s="3" t="n">
        <v>48.43</v>
      </c>
      <c r="U24" s="3" t="n">
        <v>56.67</v>
      </c>
      <c r="V24" s="3" t="n">
        <v>64.12</v>
      </c>
      <c r="W24" s="3" t="n">
        <v>35.01</v>
      </c>
      <c r="X24" s="3" t="n">
        <v>2.81</v>
      </c>
      <c r="Y24" s="3" t="n">
        <v>62.36</v>
      </c>
      <c r="Z24" s="3" t="n">
        <v>1.19</v>
      </c>
      <c r="AA24" s="3" t="n">
        <v>0.51</v>
      </c>
      <c r="AB24" s="3" t="n">
        <v>0.39</v>
      </c>
      <c r="AC24" s="3" t="n">
        <v/>
      </c>
      <c r="AD24" s="3" t="n">
        <v>5.18</v>
      </c>
      <c r="AE24" s="3" t="n">
        <v>55.24</v>
      </c>
    </row>
    <row r="25">
      <c r="A25" s="4" t="inlineStr">
        <is>
          <t>2025-09-25 11:59:05</t>
        </is>
      </c>
      <c r="B25" s="5" t="n">
        <v>83.88</v>
      </c>
      <c r="C25" s="5" t="n">
        <v>114.48</v>
      </c>
      <c r="D25" s="5" t="n">
        <v>1.36</v>
      </c>
      <c r="E25" s="5" t="n">
        <v>171.01</v>
      </c>
      <c r="F25" s="5" t="n">
        <v>190.3</v>
      </c>
      <c r="G25" s="5" t="n">
        <v>6.15</v>
      </c>
      <c r="H25" s="5" t="n">
        <v>-19.54</v>
      </c>
      <c r="I25" s="5" t="n">
        <v>5.1</v>
      </c>
      <c r="J25" s="5" t="n">
        <v>0.13</v>
      </c>
      <c r="K25" s="5" t="n">
        <v>-4.97</v>
      </c>
      <c r="L25" s="5" t="n">
        <v>0.84</v>
      </c>
      <c r="M25" s="5" t="n">
        <v>-3.3</v>
      </c>
      <c r="N25" s="5" t="n">
        <v>18.67</v>
      </c>
      <c r="O25" s="5" t="n">
        <v>15.69</v>
      </c>
      <c r="P25" s="5" t="n">
        <v>22.63</v>
      </c>
      <c r="Q25" s="5" t="n">
        <v>3475.76</v>
      </c>
      <c r="R25" s="5" t="n">
        <v>-6.37</v>
      </c>
      <c r="S25" s="5" t="n">
        <v>-22.83</v>
      </c>
      <c r="T25" s="5" t="n">
        <v>-15.34</v>
      </c>
      <c r="U25" s="5" t="n">
        <v>-19.25</v>
      </c>
      <c r="V25" s="5" t="n">
        <v>68.59</v>
      </c>
      <c r="W25" s="5" t="n">
        <v>37.24</v>
      </c>
      <c r="X25" s="5" t="n">
        <v>3.05</v>
      </c>
      <c r="Y25" s="5" t="n">
        <v>59.96</v>
      </c>
      <c r="Z25" s="5" t="n">
        <v>1.41</v>
      </c>
      <c r="AA25" s="5" t="n">
        <v>-12.13</v>
      </c>
      <c r="AB25" s="5" t="n">
        <v>3.86</v>
      </c>
      <c r="AC25" s="5" t="n">
        <v/>
      </c>
      <c r="AD25" s="5" t="n">
        <v>5.42</v>
      </c>
      <c r="AE25" s="5" t="n">
        <v>58.31</v>
      </c>
    </row>
    <row r="27">
      <c r="A27" s="6" t="inlineStr">
        <is>
          <t>Pos Av</t>
        </is>
      </c>
      <c r="B27" s="7">
        <f>IF(COUNTIF(B2:B25,"&gt;0"),AVERAGEIF(B2:B25,"&gt;0"),"—")</f>
        <v/>
      </c>
      <c r="C27" s="7">
        <f>IF(COUNTIF(C2:C25,"&gt;0"),AVERAGEIF(C2:C25,"&gt;0"),"—")</f>
        <v/>
      </c>
      <c r="D27" s="7">
        <f>IF(COUNTIF(D2:D25,"&gt;0"),AVERAGEIF(D2:D25,"&gt;0"),"—")</f>
        <v/>
      </c>
      <c r="E27" s="7">
        <f>IF(COUNTIF(E2:E25,"&gt;0"),AVERAGEIF(E2:E25,"&gt;0"),"—")</f>
        <v/>
      </c>
      <c r="F27" s="7">
        <f>IF(COUNTIF(F2:F25,"&gt;0"),AVERAGEIF(F2:F25,"&gt;0"),"—")</f>
        <v/>
      </c>
      <c r="G27" s="7">
        <f>IF(COUNTIF(G2:G25,"&gt;0"),AVERAGEIF(G2:G25,"&gt;0"),"—")</f>
        <v/>
      </c>
      <c r="H27" s="7">
        <f>IF(COUNTIF(H2:H25,"&gt;0"),AVERAGEIF(H2:H25,"&gt;0"),"—")</f>
        <v/>
      </c>
      <c r="I27" s="7">
        <f>IF(COUNTIF(I2:I25,"&gt;0"),AVERAGEIF(I2:I25,"&gt;0"),"—")</f>
        <v/>
      </c>
      <c r="J27" s="7">
        <f>IF(COUNTIF(J2:J25,"&gt;0"),AVERAGEIF(J2:J25,"&gt;0"),"—")</f>
        <v/>
      </c>
      <c r="K27" s="7">
        <f>IF(COUNTIF(K2:K25,"&gt;0"),AVERAGEIF(K2:K25,"&gt;0"),"—")</f>
        <v/>
      </c>
      <c r="L27" s="7">
        <f>IF(COUNTIF(L2:L25,"&gt;0"),AVERAGEIF(L2:L25,"&gt;0"),"—")</f>
        <v/>
      </c>
      <c r="M27" s="7">
        <f>IF(COUNTIF(M2:M25,"&gt;0"),AVERAGEIF(M2:M25,"&gt;0"),"—")</f>
        <v/>
      </c>
      <c r="N27" s="7">
        <f>IF(COUNTIF(N2:N25,"&gt;0"),AVERAGEIF(N2:N25,"&gt;0"),"—")</f>
        <v/>
      </c>
      <c r="O27" s="7">
        <f>IF(COUNTIF(O2:O25,"&gt;0"),AVERAGEIF(O2:O25,"&gt;0"),"—")</f>
        <v/>
      </c>
      <c r="P27" s="7">
        <f>IF(COUNTIF(P2:P25,"&gt;0"),AVERAGEIF(P2:P25,"&gt;0"),"—")</f>
        <v/>
      </c>
      <c r="Q27" s="7">
        <f>IF(COUNTIF(Q2:Q25,"&gt;0"),AVERAGEIF(Q2:Q25,"&gt;0"),"—")</f>
        <v/>
      </c>
      <c r="R27" s="7">
        <f>IF(COUNTIF(R2:R25,"&gt;0"),AVERAGEIF(R2:R25,"&gt;0"),"—")</f>
        <v/>
      </c>
      <c r="S27" s="7">
        <f>IF(COUNTIF(S2:S25,"&gt;0"),AVERAGEIF(S2:S25,"&gt;0"),"—")</f>
        <v/>
      </c>
      <c r="T27" s="7">
        <f>IF(COUNTIF(T2:T25,"&gt;0"),AVERAGEIF(T2:T25,"&gt;0"),"—")</f>
        <v/>
      </c>
      <c r="U27" s="7">
        <f>IF(COUNTIF(U2:U25,"&gt;0"),AVERAGEIF(U2:U25,"&gt;0"),"—")</f>
        <v/>
      </c>
      <c r="V27" s="7">
        <f>IF(COUNTIF(V2:V25,"&gt;0"),AVERAGEIF(V2:V25,"&gt;0"),"—")</f>
        <v/>
      </c>
      <c r="W27" s="7">
        <f>IF(COUNTIF(W2:W25,"&gt;0"),AVERAGEIF(W2:W25,"&gt;0"),"—")</f>
        <v/>
      </c>
      <c r="X27" s="7">
        <f>IF(COUNTIF(X2:X25,"&gt;0"),AVERAGEIF(X2:X25,"&gt;0"),"—")</f>
        <v/>
      </c>
      <c r="Y27" s="7">
        <f>IF(COUNTIF(Y2:Y25,"&gt;0"),AVERAGEIF(Y2:Y25,"&gt;0"),"—")</f>
        <v/>
      </c>
      <c r="Z27" s="7">
        <f>IF(COUNTIF(Z2:Z25,"&gt;0"),AVERAGEIF(Z2:Z25,"&gt;0"),"—")</f>
        <v/>
      </c>
      <c r="AA27" s="7">
        <f>IF(COUNTIF(AA2:AA25,"&gt;0"),AVERAGEIF(AA2:AA25,"&gt;0"),"—")</f>
        <v/>
      </c>
      <c r="AB27" s="7">
        <f>IF(COUNTIF(AB2:AB25,"&gt;0"),AVERAGEIF(AB2:AB25,"&gt;0"),"—")</f>
        <v/>
      </c>
      <c r="AC27" s="7">
        <f>IF(COUNTIF(AC2:AC25,"&gt;0"),AVERAGEIF(AC2:AC25,"&gt;0"),"—")</f>
        <v/>
      </c>
      <c r="AD27" s="7">
        <f>IF(COUNTIF(AD2:AD25,"&gt;0"),AVERAGEIF(AD2:AD25,"&gt;0"),"—")</f>
        <v/>
      </c>
      <c r="AE27" s="7">
        <f>IF(COUNTIF(AE2:AE25,"&gt;0"),AVERAGEIF(AE2:AE25,"&gt;0"),"—")</f>
        <v/>
      </c>
    </row>
    <row r="28">
      <c r="A28" s="6" t="inlineStr">
        <is>
          <t>Neg Av</t>
        </is>
      </c>
      <c r="B28" s="7">
        <f>IF(COUNTIF(B2:B25,"&lt;0"),AVERAGEIF(B2:B25,"&lt;0"),"—")</f>
        <v/>
      </c>
      <c r="C28" s="7">
        <f>IF(COUNTIF(C2:C25,"&lt;0"),AVERAGEIF(C2:C25,"&lt;0"),"—")</f>
        <v/>
      </c>
      <c r="D28" s="7">
        <f>IF(COUNTIF(D2:D25,"&lt;0"),AVERAGEIF(D2:D25,"&lt;0"),"—")</f>
        <v/>
      </c>
      <c r="E28" s="7">
        <f>IF(COUNTIF(E2:E25,"&lt;0"),AVERAGEIF(E2:E25,"&lt;0"),"—")</f>
        <v/>
      </c>
      <c r="F28" s="7">
        <f>IF(COUNTIF(F2:F25,"&lt;0"),AVERAGEIF(F2:F25,"&lt;0"),"—")</f>
        <v/>
      </c>
      <c r="G28" s="7">
        <f>IF(COUNTIF(G2:G25,"&lt;0"),AVERAGEIF(G2:G25,"&lt;0"),"—")</f>
        <v/>
      </c>
      <c r="H28" s="7">
        <f>IF(COUNTIF(H2:H25,"&lt;0"),AVERAGEIF(H2:H25,"&lt;0"),"—")</f>
        <v/>
      </c>
      <c r="I28" s="7">
        <f>IF(COUNTIF(I2:I25,"&lt;0"),AVERAGEIF(I2:I25,"&lt;0"),"—")</f>
        <v/>
      </c>
      <c r="J28" s="7">
        <f>IF(COUNTIF(J2:J25,"&lt;0"),AVERAGEIF(J2:J25,"&lt;0"),"—")</f>
        <v/>
      </c>
      <c r="K28" s="7">
        <f>IF(COUNTIF(K2:K25,"&lt;0"),AVERAGEIF(K2:K25,"&lt;0"),"—")</f>
        <v/>
      </c>
      <c r="L28" s="7">
        <f>IF(COUNTIF(L2:L25,"&lt;0"),AVERAGEIF(L2:L25,"&lt;0"),"—")</f>
        <v/>
      </c>
      <c r="M28" s="7">
        <f>IF(COUNTIF(M2:M25,"&lt;0"),AVERAGEIF(M2:M25,"&lt;0"),"—")</f>
        <v/>
      </c>
      <c r="N28" s="7">
        <f>IF(COUNTIF(N2:N25,"&lt;0"),AVERAGEIF(N2:N25,"&lt;0"),"—")</f>
        <v/>
      </c>
      <c r="O28" s="7">
        <f>IF(COUNTIF(O2:O25,"&lt;0"),AVERAGEIF(O2:O25,"&lt;0"),"—")</f>
        <v/>
      </c>
      <c r="P28" s="7">
        <f>IF(COUNTIF(P2:P25,"&lt;0"),AVERAGEIF(P2:P25,"&lt;0"),"—")</f>
        <v/>
      </c>
      <c r="Q28" s="7">
        <f>IF(COUNTIF(Q2:Q25,"&lt;0"),AVERAGEIF(Q2:Q25,"&lt;0"),"—")</f>
        <v/>
      </c>
      <c r="R28" s="7">
        <f>IF(COUNTIF(R2:R25,"&lt;0"),AVERAGEIF(R2:R25,"&lt;0"),"—")</f>
        <v/>
      </c>
      <c r="S28" s="7">
        <f>IF(COUNTIF(S2:S25,"&lt;0"),AVERAGEIF(S2:S25,"&lt;0"),"—")</f>
        <v/>
      </c>
      <c r="T28" s="7">
        <f>IF(COUNTIF(T2:T25,"&lt;0"),AVERAGEIF(T2:T25,"&lt;0"),"—")</f>
        <v/>
      </c>
      <c r="U28" s="7">
        <f>IF(COUNTIF(U2:U25,"&lt;0"),AVERAGEIF(U2:U25,"&lt;0"),"—")</f>
        <v/>
      </c>
      <c r="V28" s="7">
        <f>IF(COUNTIF(V2:V25,"&lt;0"),AVERAGEIF(V2:V25,"&lt;0"),"—")</f>
        <v/>
      </c>
      <c r="W28" s="7">
        <f>IF(COUNTIF(W2:W25,"&lt;0"),AVERAGEIF(W2:W25,"&lt;0"),"—")</f>
        <v/>
      </c>
      <c r="X28" s="7">
        <f>IF(COUNTIF(X2:X25,"&lt;0"),AVERAGEIF(X2:X25,"&lt;0"),"—")</f>
        <v/>
      </c>
      <c r="Y28" s="7">
        <f>IF(COUNTIF(Y2:Y25,"&lt;0"),AVERAGEIF(Y2:Y25,"&lt;0"),"—")</f>
        <v/>
      </c>
      <c r="Z28" s="7">
        <f>IF(COUNTIF(Z2:Z25,"&lt;0"),AVERAGEIF(Z2:Z25,"&lt;0"),"—")</f>
        <v/>
      </c>
      <c r="AA28" s="7">
        <f>IF(COUNTIF(AA2:AA25,"&lt;0"),AVERAGEIF(AA2:AA25,"&lt;0"),"—")</f>
        <v/>
      </c>
      <c r="AB28" s="7">
        <f>IF(COUNTIF(AB2:AB25,"&lt;0"),AVERAGEIF(AB2:AB25,"&lt;0"),"—")</f>
        <v/>
      </c>
      <c r="AC28" s="7">
        <f>IF(COUNTIF(AC2:AC25,"&lt;0"),AVERAGEIF(AC2:AC25,"&lt;0"),"—")</f>
        <v/>
      </c>
      <c r="AD28" s="7">
        <f>IF(COUNTIF(AD2:AD25,"&lt;0"),AVERAGEIF(AD2:AD25,"&lt;0"),"—")</f>
        <v/>
      </c>
      <c r="AE28" s="7">
        <f>IF(COUNTIF(AE2:AE25,"&lt;0"),AVERAGEIF(AE2:AE25,"&lt;0"),"—")</f>
        <v/>
      </c>
    </row>
    <row r="29">
      <c r="A29" s="6" t="inlineStr">
        <is>
          <t>1 Av</t>
        </is>
      </c>
      <c r="B29" s="7">
        <f>IF(COUNTA(B2:B25),AVERAGE(B2:B25),"—")</f>
        <v/>
      </c>
      <c r="C29" s="7">
        <f>IF(COUNTA(C2:C25),AVERAGE(C2:C25),"—")</f>
        <v/>
      </c>
      <c r="D29" s="7">
        <f>IF(COUNTA(D2:D25),AVERAGE(D2:D25),"—")</f>
        <v/>
      </c>
      <c r="E29" s="7">
        <f>IF(COUNTA(E2:E25),AVERAGE(E2:E25),"—")</f>
        <v/>
      </c>
      <c r="F29" s="7">
        <f>IF(COUNTA(F2:F25),AVERAGE(F2:F25),"—")</f>
        <v/>
      </c>
      <c r="G29" s="7">
        <f>IF(COUNTA(G2:G25),AVERAGE(G2:G25),"—")</f>
        <v/>
      </c>
      <c r="H29" s="7">
        <f>IF(COUNTA(H2:H25),AVERAGE(H2:H25),"—")</f>
        <v/>
      </c>
      <c r="I29" s="7">
        <f>IF(COUNTA(I2:I25),AVERAGE(I2:I25),"—")</f>
        <v/>
      </c>
      <c r="J29" s="7">
        <f>IF(COUNTA(J2:J25),AVERAGE(J2:J25),"—")</f>
        <v/>
      </c>
      <c r="K29" s="7">
        <f>IF(COUNTA(K2:K25),AVERAGE(K2:K25),"—")</f>
        <v/>
      </c>
      <c r="L29" s="7">
        <f>IF(COUNTA(L2:L25),AVERAGE(L2:L25),"—")</f>
        <v/>
      </c>
      <c r="M29" s="7">
        <f>IF(COUNTA(M2:M25),AVERAGE(M2:M25),"—")</f>
        <v/>
      </c>
      <c r="N29" s="7">
        <f>IF(COUNTA(N2:N25),AVERAGE(N2:N25),"—")</f>
        <v/>
      </c>
      <c r="O29" s="7">
        <f>IF(COUNTA(O2:O25),AVERAGE(O2:O25),"—")</f>
        <v/>
      </c>
      <c r="P29" s="7">
        <f>IF(COUNTA(P2:P25),AVERAGE(P2:P25),"—")</f>
        <v/>
      </c>
      <c r="Q29" s="7">
        <f>IF(COUNTA(Q2:Q25),AVERAGE(Q2:Q25),"—")</f>
        <v/>
      </c>
      <c r="R29" s="7">
        <f>IF(COUNTA(R2:R25),AVERAGE(R2:R25),"—")</f>
        <v/>
      </c>
      <c r="S29" s="7">
        <f>IF(COUNTA(S2:S25),AVERAGE(S2:S25),"—")</f>
        <v/>
      </c>
      <c r="T29" s="7">
        <f>IF(COUNTA(T2:T25),AVERAGE(T2:T25),"—")</f>
        <v/>
      </c>
      <c r="U29" s="7">
        <f>IF(COUNTA(U2:U25),AVERAGE(U2:U25),"—")</f>
        <v/>
      </c>
      <c r="V29" s="7">
        <f>IF(COUNTA(V2:V25),AVERAGE(V2:V25),"—")</f>
        <v/>
      </c>
      <c r="W29" s="7">
        <f>IF(COUNTA(W2:W25),AVERAGE(W2:W25),"—")</f>
        <v/>
      </c>
      <c r="X29" s="7">
        <f>IF(COUNTA(X2:X25),AVERAGE(X2:X25),"—")</f>
        <v/>
      </c>
      <c r="Y29" s="7">
        <f>IF(COUNTA(Y2:Y25),AVERAGE(Y2:Y25),"—")</f>
        <v/>
      </c>
      <c r="Z29" s="7">
        <f>IF(COUNTA(Z2:Z25),AVERAGE(Z2:Z25),"—")</f>
        <v/>
      </c>
      <c r="AA29" s="7">
        <f>IF(COUNTA(AA2:AA25),AVERAGE(AA2:AA25),"—")</f>
        <v/>
      </c>
      <c r="AB29" s="7">
        <f>IF(COUNTA(AB2:AB25),AVERAGE(AB2:AB25),"—")</f>
        <v/>
      </c>
      <c r="AC29" s="7">
        <f>IF(COUNTA(AC2:AC25),AVERAGE(AC2:AC25),"—")</f>
        <v/>
      </c>
      <c r="AD29" s="7">
        <f>IF(COUNTA(AD2:AD25),AVERAGE(AD2:AD25),"—")</f>
        <v/>
      </c>
      <c r="AE29" s="7">
        <f>IF(COUNTA(AE2:AE25),AVERAGE(AE2:AE25),"—")</f>
        <v/>
      </c>
    </row>
    <row r="30">
      <c r="A30" s="6" t="inlineStr">
        <is>
          <t>Spread</t>
        </is>
      </c>
      <c r="B30" s="7">
        <f>IF(AND(ISNUMBER(B27),ISNUMBER(B28)),B27-B28,"—")</f>
        <v/>
      </c>
      <c r="C30" s="7">
        <f>IF(AND(ISNUMBER(C27),ISNUMBER(C28)),C27-C28,"—")</f>
        <v/>
      </c>
      <c r="D30" s="7">
        <f>IF(AND(ISNUMBER(D27),ISNUMBER(D28)),D27-D28,"—")</f>
        <v/>
      </c>
      <c r="E30" s="7">
        <f>IF(AND(ISNUMBER(E27),ISNUMBER(E28)),E27-E28,"—")</f>
        <v/>
      </c>
      <c r="F30" s="7">
        <f>IF(AND(ISNUMBER(F27),ISNUMBER(F28)),F27-F28,"—")</f>
        <v/>
      </c>
      <c r="G30" s="7">
        <f>IF(AND(ISNUMBER(G27),ISNUMBER(G28)),G27-G28,"—")</f>
        <v/>
      </c>
      <c r="H30" s="7">
        <f>IF(AND(ISNUMBER(H27),ISNUMBER(H28)),H27-H28,"—")</f>
        <v/>
      </c>
      <c r="I30" s="7">
        <f>IF(AND(ISNUMBER(I27),ISNUMBER(I28)),I27-I28,"—")</f>
        <v/>
      </c>
      <c r="J30" s="7">
        <f>IF(AND(ISNUMBER(J27),ISNUMBER(J28)),J27-J28,"—")</f>
        <v/>
      </c>
      <c r="K30" s="7">
        <f>IF(AND(ISNUMBER(K27),ISNUMBER(K28)),K27-K28,"—")</f>
        <v/>
      </c>
      <c r="L30" s="7">
        <f>IF(AND(ISNUMBER(L27),ISNUMBER(L28)),L27-L28,"—")</f>
        <v/>
      </c>
      <c r="M30" s="7">
        <f>IF(AND(ISNUMBER(M27),ISNUMBER(M28)),M27-M28,"—")</f>
        <v/>
      </c>
      <c r="N30" s="7">
        <f>IF(AND(ISNUMBER(N27),ISNUMBER(N28)),N27-N28,"—")</f>
        <v/>
      </c>
      <c r="O30" s="7">
        <f>IF(AND(ISNUMBER(O27),ISNUMBER(O28)),O27-O28,"—")</f>
        <v/>
      </c>
      <c r="P30" s="7">
        <f>IF(AND(ISNUMBER(P27),ISNUMBER(P28)),P27-P28,"—")</f>
        <v/>
      </c>
      <c r="Q30" s="7">
        <f>IF(AND(ISNUMBER(Q27),ISNUMBER(Q28)),Q27-Q28,"—")</f>
        <v/>
      </c>
      <c r="R30" s="7">
        <f>IF(AND(ISNUMBER(R27),ISNUMBER(R28)),R27-R28,"—")</f>
        <v/>
      </c>
      <c r="S30" s="7">
        <f>IF(AND(ISNUMBER(S27),ISNUMBER(S28)),S27-S28,"—")</f>
        <v/>
      </c>
      <c r="T30" s="7">
        <f>IF(AND(ISNUMBER(T27),ISNUMBER(T28)),T27-T28,"—")</f>
        <v/>
      </c>
      <c r="U30" s="7">
        <f>IF(AND(ISNUMBER(U27),ISNUMBER(U28)),U27-U28,"—")</f>
        <v/>
      </c>
      <c r="V30" s="7">
        <f>IF(AND(ISNUMBER(V27),ISNUMBER(V28)),V27-V28,"—")</f>
        <v/>
      </c>
      <c r="W30" s="7">
        <f>IF(AND(ISNUMBER(W27),ISNUMBER(W28)),W27-W28,"—")</f>
        <v/>
      </c>
      <c r="X30" s="7">
        <f>IF(AND(ISNUMBER(X27),ISNUMBER(X28)),X27-X28,"—")</f>
        <v/>
      </c>
      <c r="Y30" s="7">
        <f>IF(AND(ISNUMBER(Y27),ISNUMBER(Y28)),Y27-Y28,"—")</f>
        <v/>
      </c>
      <c r="Z30" s="7">
        <f>IF(AND(ISNUMBER(Z27),ISNUMBER(Z28)),Z27-Z28,"—")</f>
        <v/>
      </c>
      <c r="AA30" s="7">
        <f>IF(AND(ISNUMBER(AA27),ISNUMBER(AA28)),AA27-AA28,"—")</f>
        <v/>
      </c>
      <c r="AB30" s="7">
        <f>IF(AND(ISNUMBER(AB27),ISNUMBER(AB28)),AB27-AB28,"—")</f>
        <v/>
      </c>
      <c r="AC30" s="7">
        <f>IF(AND(ISNUMBER(AC27),ISNUMBER(AC28)),AC27-AC28,"—")</f>
        <v/>
      </c>
      <c r="AD30" s="7">
        <f>IF(AND(ISNUMBER(AD27),ISNUMBER(AD28)),AD27-AD28,"—")</f>
        <v/>
      </c>
      <c r="AE30" s="7">
        <f>IF(AND(ISNUMBER(AE27),ISNUMBER(AE28)),AE27-AE28,"—")</f>
        <v/>
      </c>
    </row>
    <row r="31">
      <c r="A31" s="6" t="inlineStr">
        <is>
          <t>% Pos</t>
        </is>
      </c>
      <c r="B31" s="8">
        <f>IF(COUNTA(B2:B25),COUNTIF(B2:B25,"&gt;0")/COUNTA(B2:B25),"—")</f>
        <v/>
      </c>
      <c r="C31" s="8">
        <f>IF(COUNTA(C2:C25),COUNTIF(C2:C25,"&gt;0")/COUNTA(C2:C25),"—")</f>
        <v/>
      </c>
      <c r="D31" s="8">
        <f>IF(COUNTA(D2:D25),COUNTIF(D2:D25,"&gt;0")/COUNTA(D2:D25),"—")</f>
        <v/>
      </c>
      <c r="E31" s="8">
        <f>IF(COUNTA(E2:E25),COUNTIF(E2:E25,"&gt;0")/COUNTA(E2:E25),"—")</f>
        <v/>
      </c>
      <c r="F31" s="8">
        <f>IF(COUNTA(F2:F25),COUNTIF(F2:F25,"&gt;0")/COUNTA(F2:F25),"—")</f>
        <v/>
      </c>
      <c r="G31" s="8">
        <f>IF(COUNTA(G2:G25),COUNTIF(G2:G25,"&gt;0")/COUNTA(G2:G25),"—")</f>
        <v/>
      </c>
      <c r="H31" s="8">
        <f>IF(COUNTA(H2:H25),COUNTIF(H2:H25,"&gt;0")/COUNTA(H2:H25),"—")</f>
        <v/>
      </c>
      <c r="I31" s="8">
        <f>IF(COUNTA(I2:I25),COUNTIF(I2:I25,"&gt;0")/COUNTA(I2:I25),"—")</f>
        <v/>
      </c>
      <c r="J31" s="8">
        <f>IF(COUNTA(J2:J25),COUNTIF(J2:J25,"&gt;0")/COUNTA(J2:J25),"—")</f>
        <v/>
      </c>
      <c r="K31" s="8">
        <f>IF(COUNTA(K2:K25),COUNTIF(K2:K25,"&gt;0")/COUNTA(K2:K25),"—")</f>
        <v/>
      </c>
      <c r="L31" s="8">
        <f>IF(COUNTA(L2:L25),COUNTIF(L2:L25,"&gt;0")/COUNTA(L2:L25),"—")</f>
        <v/>
      </c>
      <c r="M31" s="8">
        <f>IF(COUNTA(M2:M25),COUNTIF(M2:M25,"&gt;0")/COUNTA(M2:M25),"—")</f>
        <v/>
      </c>
      <c r="N31" s="8">
        <f>IF(COUNTA(N2:N25),COUNTIF(N2:N25,"&gt;0")/COUNTA(N2:N25),"—")</f>
        <v/>
      </c>
      <c r="O31" s="8">
        <f>IF(COUNTA(O2:O25),COUNTIF(O2:O25,"&gt;0")/COUNTA(O2:O25),"—")</f>
        <v/>
      </c>
      <c r="P31" s="8">
        <f>IF(COUNTA(P2:P25),COUNTIF(P2:P25,"&gt;0")/COUNTA(P2:P25),"—")</f>
        <v/>
      </c>
      <c r="Q31" s="8">
        <f>IF(COUNTA(Q2:Q25),COUNTIF(Q2:Q25,"&gt;0")/COUNTA(Q2:Q25),"—")</f>
        <v/>
      </c>
      <c r="R31" s="8">
        <f>IF(COUNTA(R2:R25),COUNTIF(R2:R25,"&gt;0")/COUNTA(R2:R25),"—")</f>
        <v/>
      </c>
      <c r="S31" s="8">
        <f>IF(COUNTA(S2:S25),COUNTIF(S2:S25,"&gt;0")/COUNTA(S2:S25),"—")</f>
        <v/>
      </c>
      <c r="T31" s="8">
        <f>IF(COUNTA(T2:T25),COUNTIF(T2:T25,"&gt;0")/COUNTA(T2:T25),"—")</f>
        <v/>
      </c>
      <c r="U31" s="8">
        <f>IF(COUNTA(U2:U25),COUNTIF(U2:U25,"&gt;0")/COUNTA(U2:U25),"—")</f>
        <v/>
      </c>
      <c r="V31" s="8">
        <f>IF(COUNTA(V2:V25),COUNTIF(V2:V25,"&gt;0")/COUNTA(V2:V25),"—")</f>
        <v/>
      </c>
      <c r="W31" s="8">
        <f>IF(COUNTA(W2:W25),COUNTIF(W2:W25,"&gt;0")/COUNTA(W2:W25),"—")</f>
        <v/>
      </c>
      <c r="X31" s="8">
        <f>IF(COUNTA(X2:X25),COUNTIF(X2:X25,"&gt;0")/COUNTA(X2:X25),"—")</f>
        <v/>
      </c>
      <c r="Y31" s="8">
        <f>IF(COUNTA(Y2:Y25),COUNTIF(Y2:Y25,"&gt;0")/COUNTA(Y2:Y25),"—")</f>
        <v/>
      </c>
      <c r="Z31" s="8">
        <f>IF(COUNTA(Z2:Z25),COUNTIF(Z2:Z25,"&gt;0")/COUNTA(Z2:Z25),"—")</f>
        <v/>
      </c>
      <c r="AA31" s="8">
        <f>IF(COUNTA(AA2:AA25),COUNTIF(AA2:AA25,"&gt;0")/COUNTA(AA2:AA25),"—")</f>
        <v/>
      </c>
      <c r="AB31" s="8">
        <f>IF(COUNTA(AB2:AB25),COUNTIF(AB2:AB25,"&gt;0")/COUNTA(AB2:AB25),"—")</f>
        <v/>
      </c>
      <c r="AC31" s="8">
        <f>IF(COUNTA(AC2:AC25),COUNTIF(AC2:AC25,"&gt;0")/COUNTA(AC2:AC25),"—")</f>
        <v/>
      </c>
      <c r="AD31" s="8">
        <f>IF(COUNTA(AD2:AD25),COUNTIF(AD2:AD25,"&gt;0")/COUNTA(AD2:AD25),"—")</f>
        <v/>
      </c>
      <c r="AE31" s="8">
        <f>IF(COUNTA(AE2:AE25),COUNTIF(AE2:AE25,"&gt;0")/COUNTA(AE2:AE25),"—")</f>
        <v/>
      </c>
    </row>
    <row r="32">
      <c r="A32" s="6" t="inlineStr">
        <is>
          <t>% Neg</t>
        </is>
      </c>
      <c r="B32" s="8">
        <f>IF(COUNTA(B2:B25),COUNTIF(B2:B25,"&lt;0")/COUNTA(B2:B25),"—")</f>
        <v/>
      </c>
      <c r="C32" s="8">
        <f>IF(COUNTA(C2:C25),COUNTIF(C2:C25,"&lt;0")/COUNTA(C2:C25),"—")</f>
        <v/>
      </c>
      <c r="D32" s="8">
        <f>IF(COUNTA(D2:D25),COUNTIF(D2:D25,"&lt;0")/COUNTA(D2:D25),"—")</f>
        <v/>
      </c>
      <c r="E32" s="8">
        <f>IF(COUNTA(E2:E25),COUNTIF(E2:E25,"&lt;0")/COUNTA(E2:E25),"—")</f>
        <v/>
      </c>
      <c r="F32" s="8">
        <f>IF(COUNTA(F2:F25),COUNTIF(F2:F25,"&lt;0")/COUNTA(F2:F25),"—")</f>
        <v/>
      </c>
      <c r="G32" s="8">
        <f>IF(COUNTA(G2:G25),COUNTIF(G2:G25,"&lt;0")/COUNTA(G2:G25),"—")</f>
        <v/>
      </c>
      <c r="H32" s="8">
        <f>IF(COUNTA(H2:H25),COUNTIF(H2:H25,"&lt;0")/COUNTA(H2:H25),"—")</f>
        <v/>
      </c>
      <c r="I32" s="8">
        <f>IF(COUNTA(I2:I25),COUNTIF(I2:I25,"&lt;0")/COUNTA(I2:I25),"—")</f>
        <v/>
      </c>
      <c r="J32" s="8">
        <f>IF(COUNTA(J2:J25),COUNTIF(J2:J25,"&lt;0")/COUNTA(J2:J25),"—")</f>
        <v/>
      </c>
      <c r="K32" s="8">
        <f>IF(COUNTA(K2:K25),COUNTIF(K2:K25,"&lt;0")/COUNTA(K2:K25),"—")</f>
        <v/>
      </c>
      <c r="L32" s="8">
        <f>IF(COUNTA(L2:L25),COUNTIF(L2:L25,"&lt;0")/COUNTA(L2:L25),"—")</f>
        <v/>
      </c>
      <c r="M32" s="8">
        <f>IF(COUNTA(M2:M25),COUNTIF(M2:M25,"&lt;0")/COUNTA(M2:M25),"—")</f>
        <v/>
      </c>
      <c r="N32" s="8">
        <f>IF(COUNTA(N2:N25),COUNTIF(N2:N25,"&lt;0")/COUNTA(N2:N25),"—")</f>
        <v/>
      </c>
      <c r="O32" s="8">
        <f>IF(COUNTA(O2:O25),COUNTIF(O2:O25,"&lt;0")/COUNTA(O2:O25),"—")</f>
        <v/>
      </c>
      <c r="P32" s="8">
        <f>IF(COUNTA(P2:P25),COUNTIF(P2:P25,"&lt;0")/COUNTA(P2:P25),"—")</f>
        <v/>
      </c>
      <c r="Q32" s="8">
        <f>IF(COUNTA(Q2:Q25),COUNTIF(Q2:Q25,"&lt;0")/COUNTA(Q2:Q25),"—")</f>
        <v/>
      </c>
      <c r="R32" s="8">
        <f>IF(COUNTA(R2:R25),COUNTIF(R2:R25,"&lt;0")/COUNTA(R2:R25),"—")</f>
        <v/>
      </c>
      <c r="S32" s="8">
        <f>IF(COUNTA(S2:S25),COUNTIF(S2:S25,"&lt;0")/COUNTA(S2:S25),"—")</f>
        <v/>
      </c>
      <c r="T32" s="8">
        <f>IF(COUNTA(T2:T25),COUNTIF(T2:T25,"&lt;0")/COUNTA(T2:T25),"—")</f>
        <v/>
      </c>
      <c r="U32" s="8">
        <f>IF(COUNTA(U2:U25),COUNTIF(U2:U25,"&lt;0")/COUNTA(U2:U25),"—")</f>
        <v/>
      </c>
      <c r="V32" s="8">
        <f>IF(COUNTA(V2:V25),COUNTIF(V2:V25,"&lt;0")/COUNTA(V2:V25),"—")</f>
        <v/>
      </c>
      <c r="W32" s="8">
        <f>IF(COUNTA(W2:W25),COUNTIF(W2:W25,"&lt;0")/COUNTA(W2:W25),"—")</f>
        <v/>
      </c>
      <c r="X32" s="8">
        <f>IF(COUNTA(X2:X25),COUNTIF(X2:X25,"&lt;0")/COUNTA(X2:X25),"—")</f>
        <v/>
      </c>
      <c r="Y32" s="8">
        <f>IF(COUNTA(Y2:Y25),COUNTIF(Y2:Y25,"&lt;0")/COUNTA(Y2:Y25),"—")</f>
        <v/>
      </c>
      <c r="Z32" s="8">
        <f>IF(COUNTA(Z2:Z25),COUNTIF(Z2:Z25,"&lt;0")/COUNTA(Z2:Z25),"—")</f>
        <v/>
      </c>
      <c r="AA32" s="8">
        <f>IF(COUNTA(AA2:AA25),COUNTIF(AA2:AA25,"&lt;0")/COUNTA(AA2:AA25),"—")</f>
        <v/>
      </c>
      <c r="AB32" s="8">
        <f>IF(COUNTA(AB2:AB25),COUNTIF(AB2:AB25,"&lt;0")/COUNTA(AB2:AB25),"—")</f>
        <v/>
      </c>
      <c r="AC32" s="8">
        <f>IF(COUNTA(AC2:AC25),COUNTIF(AC2:AC25,"&lt;0")/COUNTA(AC2:AC25),"—")</f>
        <v/>
      </c>
      <c r="AD32" s="8">
        <f>IF(COUNTA(AD2:AD25),COUNTIF(AD2:AD25,"&lt;0")/COUNTA(AD2:AD25),"—")</f>
        <v/>
      </c>
      <c r="AE32" s="8">
        <f>IF(COUNTA(AE2:AE25),COUNTIF(AE2:AE25,"&lt;0")/COUNTA(AE2:AE25),"—")</f>
        <v/>
      </c>
    </row>
  </sheetData>
  <autoFilter ref="A1:AE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70" customHeight="1">
      <c r="A1" s="1" t="inlineStr">
        <is>
          <t>Time</t>
        </is>
      </c>
      <c r="B1" s="1" t="inlineStr">
        <is>
          <t>Club Speed (Mph)</t>
        </is>
      </c>
      <c r="C1" s="1" t="inlineStr">
        <is>
          <t>Ball Speed (Mph)</t>
        </is>
      </c>
      <c r="D1" s="1" t="inlineStr">
        <is>
          <t>Smash Factor</t>
        </is>
      </c>
      <c r="E1" s="1" t="inlineStr">
        <is>
          <t>Carry (Yds)</t>
        </is>
      </c>
      <c r="F1" s="1" t="inlineStr">
        <is>
          <t>Total (Yds)</t>
        </is>
      </c>
      <c r="G1" s="1" t="inlineStr">
        <is>
          <t>Impact Height (mm)</t>
        </is>
      </c>
      <c r="H1" s="1" t="inlineStr">
        <is>
          <t>Impact Offset (mm)</t>
        </is>
      </c>
      <c r="I1" s="1" t="inlineStr">
        <is>
          <t>Club Path (Deg)</t>
        </is>
      </c>
      <c r="J1" s="1" t="inlineStr">
        <is>
          <t>Face Angle (Deg)</t>
        </is>
      </c>
      <c r="K1" s="1" t="inlineStr">
        <is>
          <t>Face To Path (Deg)</t>
        </is>
      </c>
      <c r="L1" s="1" t="inlineStr">
        <is>
          <t>Launch Direction (Deg)</t>
        </is>
      </c>
      <c r="M1" s="1" t="inlineStr">
        <is>
          <t>Attack Angle (Deg)</t>
        </is>
      </c>
      <c r="N1" s="1" t="inlineStr">
        <is>
          <t>Dynamic Loft (Deg)</t>
        </is>
      </c>
      <c r="O1" s="1" t="inlineStr">
        <is>
          <t>Launch Angle (Deg)</t>
        </is>
      </c>
      <c r="P1" s="1" t="inlineStr">
        <is>
          <t>Spin Loft (Deg)</t>
        </is>
      </c>
      <c r="Q1" s="1" t="inlineStr">
        <is>
          <t>Spin Rate (Rpm)</t>
        </is>
      </c>
      <c r="R1" s="1" t="inlineStr">
        <is>
          <t>Spin Axis (Deg)</t>
        </is>
      </c>
      <c r="S1" s="1" t="inlineStr">
        <is>
          <t>Curve (Ft)</t>
        </is>
      </c>
      <c r="T1" s="1" t="inlineStr">
        <is>
          <t>Carry Side (Ft)</t>
        </is>
      </c>
      <c r="U1" s="1" t="inlineStr">
        <is>
          <t>Total Side (Ft)</t>
        </is>
      </c>
      <c r="V1" s="1" t="inlineStr">
        <is>
          <t>Max Height (Ft)</t>
        </is>
      </c>
      <c r="W1" s="1" t="inlineStr">
        <is>
          <t>Landing Angle (Deg)</t>
        </is>
      </c>
      <c r="X1" s="1" t="inlineStr">
        <is>
          <t>Swing Direction (Deg)</t>
        </is>
      </c>
      <c r="Y1" s="1" t="inlineStr">
        <is>
          <t>Swing Plane (Deg)</t>
        </is>
      </c>
      <c r="Z1" s="1" t="inlineStr">
        <is>
          <t>Swing Radius</t>
        </is>
      </c>
      <c r="AA1" s="1" t="inlineStr">
        <is>
          <t>DPlane Tilt</t>
        </is>
      </c>
      <c r="AB1" s="1" t="inlineStr">
        <is>
          <t>Low Point (In)</t>
        </is>
      </c>
      <c r="AC1" s="1" t="inlineStr">
        <is>
          <t>Landing Height</t>
        </is>
      </c>
      <c r="AD1" s="1" t="inlineStr">
        <is>
          <t>Hang Time (Sec)</t>
        </is>
      </c>
      <c r="AE1" s="1" t="inlineStr">
        <is>
          <t>Dynamic Lie (Deg)</t>
        </is>
      </c>
    </row>
    <row r="2">
      <c r="A2" s="2" t="inlineStr">
        <is>
          <t>2025-09-25 11:41:35</t>
        </is>
      </c>
      <c r="B2" s="3" t="n">
        <v>74.06999999999999</v>
      </c>
      <c r="C2" s="3" t="n">
        <v>103.26</v>
      </c>
      <c r="D2" s="3" t="n">
        <v>1.39</v>
      </c>
      <c r="E2" s="3" t="n">
        <v>148.22</v>
      </c>
      <c r="F2" s="3" t="n">
        <v>165.13</v>
      </c>
      <c r="G2" s="3" t="n">
        <v>5.7</v>
      </c>
      <c r="H2" s="3" t="n">
        <v>-6.38</v>
      </c>
      <c r="I2" s="3" t="n">
        <v>2.4</v>
      </c>
      <c r="J2" s="3" t="n">
        <v>-1.69</v>
      </c>
      <c r="K2" s="3" t="n">
        <v>-4.09</v>
      </c>
      <c r="L2" s="3" t="n">
        <v>-1.03</v>
      </c>
      <c r="M2" s="3" t="n">
        <v>-1.6</v>
      </c>
      <c r="N2" s="3" t="n">
        <v>22.18</v>
      </c>
      <c r="O2" s="3" t="n">
        <v>18.56</v>
      </c>
      <c r="P2" s="3" t="n">
        <v>24.12</v>
      </c>
      <c r="Q2" s="3" t="n">
        <v>3756.34</v>
      </c>
      <c r="R2" s="3" t="n">
        <v>-8.17</v>
      </c>
      <c r="S2" s="3" t="n">
        <v>-24.05</v>
      </c>
      <c r="T2" s="3" t="n">
        <v>-32.02</v>
      </c>
      <c r="U2" s="3" t="n">
        <v>-37.85</v>
      </c>
      <c r="V2" s="3" t="n">
        <v>65.83</v>
      </c>
      <c r="W2" s="3" t="n">
        <v>38.71</v>
      </c>
      <c r="X2" s="3" t="n">
        <v>1.49</v>
      </c>
      <c r="Y2" s="3" t="n">
        <v>64.41</v>
      </c>
      <c r="Z2" s="3" t="n">
        <v>1.3</v>
      </c>
      <c r="AA2" s="3" t="n">
        <v>-9.15</v>
      </c>
      <c r="AB2" s="3" t="n">
        <v>1.46</v>
      </c>
      <c r="AC2" s="3" t="n">
        <v/>
      </c>
      <c r="AD2" s="3" t="n">
        <v>5.13</v>
      </c>
      <c r="AE2" s="3" t="n">
        <v>65.81</v>
      </c>
    </row>
    <row r="3">
      <c r="A3" s="4" t="inlineStr">
        <is>
          <t>2025-09-25 11:41:57</t>
        </is>
      </c>
      <c r="B3" s="5" t="n">
        <v>75.12</v>
      </c>
      <c r="C3" s="5" t="n">
        <v>97.95</v>
      </c>
      <c r="D3" s="5" t="n">
        <v>1.3</v>
      </c>
      <c r="E3" s="5" t="n">
        <v>139.16</v>
      </c>
      <c r="F3" s="5" t="n">
        <v>161.61</v>
      </c>
      <c r="G3" s="5" t="n">
        <v>9.81</v>
      </c>
      <c r="H3" s="5" t="n">
        <v>-10.84</v>
      </c>
      <c r="I3" s="5" t="n">
        <v>2.6</v>
      </c>
      <c r="J3" s="5" t="n">
        <v>-0.24</v>
      </c>
      <c r="K3" s="5" t="n">
        <v>-2.84</v>
      </c>
      <c r="L3" s="5" t="n">
        <v>0.17</v>
      </c>
      <c r="M3" s="5" t="n">
        <v>0.2</v>
      </c>
      <c r="N3" s="5" t="n">
        <v>21.5</v>
      </c>
      <c r="O3" s="5" t="n">
        <v>18.62</v>
      </c>
      <c r="P3" s="5" t="n">
        <v>21.52</v>
      </c>
      <c r="Q3" s="5" t="n">
        <v>2826.4</v>
      </c>
      <c r="R3" s="5" t="n">
        <v>-6.18</v>
      </c>
      <c r="S3" s="5" t="n">
        <v>-13.8</v>
      </c>
      <c r="T3" s="5" t="n">
        <v>-12.58</v>
      </c>
      <c r="U3" s="5" t="n">
        <v>-16.53</v>
      </c>
      <c r="V3" s="5" t="n">
        <v>54.19</v>
      </c>
      <c r="W3" s="5" t="n">
        <v>34</v>
      </c>
      <c r="X3" s="5" t="n">
        <v>2.52</v>
      </c>
      <c r="Y3" s="5" t="n">
        <v>71.8</v>
      </c>
      <c r="Z3" s="5" t="n">
        <v>1.24</v>
      </c>
      <c r="AA3" s="5" t="n">
        <v>-7.05</v>
      </c>
      <c r="AB3" s="5" t="n">
        <v>-0.35</v>
      </c>
      <c r="AC3" s="5" t="n">
        <v/>
      </c>
      <c r="AD3" s="5" t="n">
        <v>4.62</v>
      </c>
      <c r="AE3" s="5" t="n">
        <v>68.55</v>
      </c>
    </row>
    <row r="4">
      <c r="A4" s="2" t="inlineStr">
        <is>
          <t>2025-09-25 11:42:20</t>
        </is>
      </c>
      <c r="B4" s="3" t="n">
        <v>74.28</v>
      </c>
      <c r="C4" s="3" t="n">
        <v>99.56999999999999</v>
      </c>
      <c r="D4" s="3" t="n">
        <v>1.34</v>
      </c>
      <c r="E4" s="3" t="n">
        <v>140.01</v>
      </c>
      <c r="F4" s="3" t="n">
        <v>158.99</v>
      </c>
      <c r="G4" s="3" t="n">
        <v>4.74</v>
      </c>
      <c r="H4" s="3" t="n">
        <v>-14.79</v>
      </c>
      <c r="I4" s="3" t="n">
        <v>1.4</v>
      </c>
      <c r="J4" s="3" t="n">
        <v>-0.47</v>
      </c>
      <c r="K4" s="3" t="n">
        <v>-1.87</v>
      </c>
      <c r="L4" s="3" t="n">
        <v>-0.16</v>
      </c>
      <c r="M4" s="3" t="n">
        <v>-2</v>
      </c>
      <c r="N4" s="3" t="n">
        <v>21.38</v>
      </c>
      <c r="O4" s="3" t="n">
        <v>17.76</v>
      </c>
      <c r="P4" s="3" t="n">
        <v>23.47</v>
      </c>
      <c r="Q4" s="3" t="n">
        <v>3582.06</v>
      </c>
      <c r="R4" s="3" t="n">
        <v>-3.75</v>
      </c>
      <c r="S4" s="3" t="n">
        <v>-9.619999999999999</v>
      </c>
      <c r="T4" s="3" t="n">
        <v>-10.8</v>
      </c>
      <c r="U4" s="3" t="n">
        <v>-13.35</v>
      </c>
      <c r="V4" s="3" t="n">
        <v>56.58</v>
      </c>
      <c r="W4" s="3" t="n">
        <v>35.82</v>
      </c>
      <c r="X4" s="3" t="n">
        <v>0.62</v>
      </c>
      <c r="Y4" s="3" t="n">
        <v>70.48999999999999</v>
      </c>
      <c r="Z4" s="3" t="n">
        <v>1.26</v>
      </c>
      <c r="AA4" s="3" t="n">
        <v>-4.37</v>
      </c>
      <c r="AB4" s="3" t="n">
        <v>1.69</v>
      </c>
      <c r="AC4" s="3" t="n">
        <v/>
      </c>
      <c r="AD4" s="3" t="n">
        <v>4.79</v>
      </c>
      <c r="AE4" s="3" t="n">
        <v>66.72</v>
      </c>
    </row>
    <row r="5">
      <c r="A5" s="4" t="inlineStr">
        <is>
          <t>2025-09-25 11:42:41</t>
        </is>
      </c>
      <c r="B5" s="5" t="n">
        <v>75.11</v>
      </c>
      <c r="C5" s="5" t="n">
        <v>103.46</v>
      </c>
      <c r="D5" s="5" t="n">
        <v>1.38</v>
      </c>
      <c r="E5" s="5" t="n">
        <v>147.96</v>
      </c>
      <c r="F5" s="5" t="n">
        <v>163.37</v>
      </c>
      <c r="G5" s="5" t="n">
        <v>2.34</v>
      </c>
      <c r="H5" s="5" t="n">
        <v>-8.16</v>
      </c>
      <c r="I5" s="5" t="n">
        <v>2.4</v>
      </c>
      <c r="J5" s="5" t="n">
        <v>3.23</v>
      </c>
      <c r="K5" s="5" t="n">
        <v>0.83</v>
      </c>
      <c r="L5" s="5" t="n">
        <v>3.08</v>
      </c>
      <c r="M5" s="5" t="n">
        <v>-2.2</v>
      </c>
      <c r="N5" s="5" t="n">
        <v>22.59</v>
      </c>
      <c r="O5" s="5" t="n">
        <v>18.64</v>
      </c>
      <c r="P5" s="5" t="n">
        <v>24.87</v>
      </c>
      <c r="Q5" s="5" t="n">
        <v>4055.24</v>
      </c>
      <c r="R5" s="5" t="n">
        <v>1.77</v>
      </c>
      <c r="S5" s="5" t="n">
        <v>5.41</v>
      </c>
      <c r="T5" s="5" t="n">
        <v>29.28</v>
      </c>
      <c r="U5" s="5" t="n">
        <v>32.77</v>
      </c>
      <c r="V5" s="5" t="n">
        <v>68</v>
      </c>
      <c r="W5" s="5" t="n">
        <v>39.92</v>
      </c>
      <c r="X5" s="5" t="n">
        <v>1.19</v>
      </c>
      <c r="Y5" s="5" t="n">
        <v>63.71</v>
      </c>
      <c r="Z5" s="5" t="n">
        <v>1.22</v>
      </c>
      <c r="AA5" s="5" t="n">
        <v>1.88</v>
      </c>
      <c r="AB5" s="5" t="n">
        <v>2.01</v>
      </c>
      <c r="AC5" s="5" t="n">
        <v/>
      </c>
      <c r="AD5" s="5" t="n">
        <v>5.22</v>
      </c>
      <c r="AE5" s="5" t="n">
        <v>65.65000000000001</v>
      </c>
    </row>
    <row r="6">
      <c r="A6" s="2" t="inlineStr">
        <is>
          <t>2025-09-25 12:00:30</t>
        </is>
      </c>
      <c r="B6" s="3" t="n">
        <v>76.68000000000001</v>
      </c>
      <c r="C6" s="3" t="n">
        <v>103.33</v>
      </c>
      <c r="D6" s="3" t="n">
        <v>1.35</v>
      </c>
      <c r="E6" s="3" t="n">
        <v>145.1</v>
      </c>
      <c r="F6" s="3" t="n">
        <v>157.9</v>
      </c>
      <c r="G6" s="3" t="n">
        <v>0.64</v>
      </c>
      <c r="H6" s="3" t="n">
        <v>-13.28</v>
      </c>
      <c r="I6" s="3" t="n">
        <v>0.2</v>
      </c>
      <c r="J6" s="3" t="n">
        <v>2.65</v>
      </c>
      <c r="K6" s="3" t="n">
        <v>2.45</v>
      </c>
      <c r="L6" s="3" t="n">
        <v>2.17</v>
      </c>
      <c r="M6" s="3" t="n">
        <v>-2.6</v>
      </c>
      <c r="N6" s="3" t="n">
        <v>23.52</v>
      </c>
      <c r="O6" s="3" t="n">
        <v>18.92</v>
      </c>
      <c r="P6" s="3" t="n">
        <v>26.39</v>
      </c>
      <c r="Q6" s="3" t="n">
        <v>4736.21</v>
      </c>
      <c r="R6" s="3" t="n">
        <v>4.88</v>
      </c>
      <c r="S6" s="3" t="n">
        <v>15.5</v>
      </c>
      <c r="T6" s="3" t="n">
        <v>31.95</v>
      </c>
      <c r="U6" s="3" t="n">
        <v>35.79</v>
      </c>
      <c r="V6" s="3" t="n">
        <v>70.45999999999999</v>
      </c>
      <c r="W6" s="3" t="n">
        <v>41.72</v>
      </c>
      <c r="X6" s="3" t="n">
        <v>-1.36</v>
      </c>
      <c r="Y6" s="3" t="n">
        <v>63.02</v>
      </c>
      <c r="Z6" s="3" t="n">
        <v>1.26</v>
      </c>
      <c r="AA6" s="3" t="n">
        <v>5.24</v>
      </c>
      <c r="AB6" s="3" t="n">
        <v>2.56</v>
      </c>
      <c r="AC6" s="3" t="n">
        <v/>
      </c>
      <c r="AD6" s="3" t="n">
        <v>5.3</v>
      </c>
      <c r="AE6" s="3" t="n">
        <v>64.29000000000001</v>
      </c>
    </row>
    <row r="7">
      <c r="A7" s="4" t="inlineStr">
        <is>
          <t>2025-09-25 11:42:57</t>
        </is>
      </c>
      <c r="B7" s="5" t="n">
        <v>75.14</v>
      </c>
      <c r="C7" s="5" t="n">
        <v>101.92</v>
      </c>
      <c r="D7" s="5" t="n">
        <v>1.36</v>
      </c>
      <c r="E7" s="5" t="n">
        <v>146.16</v>
      </c>
      <c r="F7" s="5" t="n">
        <v>162.16</v>
      </c>
      <c r="G7" s="5" t="n">
        <v>4.22</v>
      </c>
      <c r="H7" s="5" t="n">
        <v>-5.43</v>
      </c>
      <c r="I7" s="5" t="n">
        <v>3.6</v>
      </c>
      <c r="J7" s="5" t="n">
        <v>4.84</v>
      </c>
      <c r="K7" s="5" t="n">
        <v>1.25</v>
      </c>
      <c r="L7" s="5" t="n">
        <v>4.66</v>
      </c>
      <c r="M7" s="5" t="n">
        <v>-1.6</v>
      </c>
      <c r="N7" s="5" t="n">
        <v>23.11</v>
      </c>
      <c r="O7" s="5" t="n">
        <v>19.34</v>
      </c>
      <c r="P7" s="5" t="n">
        <v>24.93</v>
      </c>
      <c r="Q7" s="5" t="n">
        <v>3815</v>
      </c>
      <c r="R7" s="5" t="n">
        <v>2.32</v>
      </c>
      <c r="S7" s="5" t="n">
        <v>6.78</v>
      </c>
      <c r="T7" s="5" t="n">
        <v>42.34</v>
      </c>
      <c r="U7" s="5" t="n">
        <v>47.54</v>
      </c>
      <c r="V7" s="5" t="n">
        <v>67.8</v>
      </c>
      <c r="W7" s="5" t="n">
        <v>39.8</v>
      </c>
      <c r="X7" s="5" t="n">
        <v>2.87</v>
      </c>
      <c r="Y7" s="5" t="n">
        <v>67.11</v>
      </c>
      <c r="Z7" s="5" t="n">
        <v>1.24</v>
      </c>
      <c r="AA7" s="5" t="n">
        <v>2.51</v>
      </c>
      <c r="AB7" s="5" t="n">
        <v>1.5</v>
      </c>
      <c r="AC7" s="5" t="n">
        <v/>
      </c>
      <c r="AD7" s="5" t="n">
        <v>5.17</v>
      </c>
      <c r="AE7" s="5" t="n">
        <v>64.58</v>
      </c>
    </row>
    <row r="8">
      <c r="A8" s="2" t="inlineStr">
        <is>
          <t>2025-09-25 11:43:15</t>
        </is>
      </c>
      <c r="B8" s="3" t="n">
        <v>74.47</v>
      </c>
      <c r="C8" s="3" t="n">
        <v>101.16</v>
      </c>
      <c r="D8" s="3" t="n">
        <v>1.36</v>
      </c>
      <c r="E8" s="3" t="n">
        <v>144.08</v>
      </c>
      <c r="F8" s="3" t="n">
        <v>161.03</v>
      </c>
      <c r="G8" s="3" t="n">
        <v>3.92</v>
      </c>
      <c r="H8" s="3" t="n">
        <v>-1.72</v>
      </c>
      <c r="I8" s="3" t="n">
        <v>3</v>
      </c>
      <c r="J8" s="3" t="n">
        <v>0.1</v>
      </c>
      <c r="K8" s="3" t="n">
        <v>-2.9</v>
      </c>
      <c r="L8" s="3" t="n">
        <v>0.58</v>
      </c>
      <c r="M8" s="3" t="n">
        <v>-0.6</v>
      </c>
      <c r="N8" s="3" t="n">
        <v>22.51</v>
      </c>
      <c r="O8" s="3" t="n">
        <v>18.8</v>
      </c>
      <c r="P8" s="3" t="n">
        <v>23.45</v>
      </c>
      <c r="Q8" s="3" t="n">
        <v>3755.43</v>
      </c>
      <c r="R8" s="3" t="n">
        <v>-5.89</v>
      </c>
      <c r="S8" s="3" t="n">
        <v>-16.49</v>
      </c>
      <c r="T8" s="3" t="n">
        <v>-12.08</v>
      </c>
      <c r="U8" s="3" t="n">
        <v>-15.05</v>
      </c>
      <c r="V8" s="3" t="n">
        <v>63.79</v>
      </c>
      <c r="W8" s="3" t="n">
        <v>38.44</v>
      </c>
      <c r="X8" s="3" t="n">
        <v>2.55</v>
      </c>
      <c r="Y8" s="3" t="n">
        <v>67.95</v>
      </c>
      <c r="Z8" s="3" t="n">
        <v>1.28</v>
      </c>
      <c r="AA8" s="3" t="n">
        <v>-6.57</v>
      </c>
      <c r="AB8" s="3" t="n">
        <v>0.55</v>
      </c>
      <c r="AC8" s="3" t="n">
        <v/>
      </c>
      <c r="AD8" s="3" t="n">
        <v>5.04</v>
      </c>
      <c r="AE8" s="3" t="n">
        <v>63.34</v>
      </c>
    </row>
    <row r="9">
      <c r="A9" s="4" t="inlineStr">
        <is>
          <t>2025-09-25 11:48:14</t>
        </is>
      </c>
      <c r="B9" s="5" t="n">
        <v>74.15000000000001</v>
      </c>
      <c r="C9" s="5" t="n">
        <v>96.45999999999999</v>
      </c>
      <c r="D9" s="5" t="n">
        <v>1.3</v>
      </c>
      <c r="E9" s="5" t="n">
        <v>133.17</v>
      </c>
      <c r="F9" s="5" t="n">
        <v>159.56</v>
      </c>
      <c r="G9" s="5" t="n">
        <v>6.06</v>
      </c>
      <c r="H9" s="5" t="n">
        <v>-10.57</v>
      </c>
      <c r="I9" s="5" t="n">
        <v>4.8</v>
      </c>
      <c r="J9" s="5" t="n">
        <v>-0.23</v>
      </c>
      <c r="K9" s="5" t="n">
        <v>-5.03</v>
      </c>
      <c r="L9" s="5" t="n">
        <v>0.43</v>
      </c>
      <c r="M9" s="5" t="n">
        <v>-0.6</v>
      </c>
      <c r="N9" s="5" t="n">
        <v>20.17</v>
      </c>
      <c r="O9" s="5" t="n">
        <v>17.62</v>
      </c>
      <c r="P9" s="5" t="n">
        <v>21.42</v>
      </c>
      <c r="Q9" s="5" t="n">
        <v>2511</v>
      </c>
      <c r="R9" s="5" t="n">
        <v>-11.36</v>
      </c>
      <c r="S9" s="5" t="n">
        <v>-21.26</v>
      </c>
      <c r="T9" s="5" t="n">
        <v>-18.26</v>
      </c>
      <c r="U9" s="5" t="n">
        <v>-25.77</v>
      </c>
      <c r="V9" s="5" t="n">
        <v>45.8</v>
      </c>
      <c r="W9" s="5" t="n">
        <v>30.27</v>
      </c>
      <c r="X9" s="5" t="n">
        <v>4.51</v>
      </c>
      <c r="Y9" s="5" t="n">
        <v>73.18000000000001</v>
      </c>
      <c r="Z9" s="5" t="n">
        <v>1.28</v>
      </c>
      <c r="AA9" s="5" t="n">
        <v>-12.96</v>
      </c>
      <c r="AB9" s="5" t="n">
        <v>0.43</v>
      </c>
      <c r="AC9" s="5" t="n">
        <v/>
      </c>
      <c r="AD9" s="5" t="n">
        <v>4.26</v>
      </c>
      <c r="AE9" s="5" t="n">
        <v>64.84999999999999</v>
      </c>
    </row>
    <row r="10">
      <c r="A10" s="2" t="inlineStr">
        <is>
          <t>2025-09-25 11:45:47</t>
        </is>
      </c>
      <c r="B10" s="3" t="n">
        <v>73.66</v>
      </c>
      <c r="C10" s="3" t="n">
        <v>103.06</v>
      </c>
      <c r="D10" s="3" t="n">
        <v>1.4</v>
      </c>
      <c r="E10" s="3" t="n">
        <v>147.24</v>
      </c>
      <c r="F10" s="3" t="n">
        <v>162.97</v>
      </c>
      <c r="G10" s="3" t="n">
        <v>3.92</v>
      </c>
      <c r="H10" s="3" t="n">
        <v>-2.55</v>
      </c>
      <c r="I10" s="3" t="n">
        <v>1.8</v>
      </c>
      <c r="J10" s="3" t="n">
        <v>2.39</v>
      </c>
      <c r="K10" s="3" t="n">
        <v>0.59</v>
      </c>
      <c r="L10" s="3" t="n">
        <v>2.28</v>
      </c>
      <c r="M10" s="3" t="n">
        <v>-2.2</v>
      </c>
      <c r="N10" s="3" t="n">
        <v>22.48</v>
      </c>
      <c r="O10" s="3" t="n">
        <v>18.57</v>
      </c>
      <c r="P10" s="3" t="n">
        <v>24.81</v>
      </c>
      <c r="Q10" s="3" t="n">
        <v>4008.08</v>
      </c>
      <c r="R10" s="3" t="n">
        <v>1.29</v>
      </c>
      <c r="S10" s="3" t="n">
        <v>3.88</v>
      </c>
      <c r="T10" s="3" t="n">
        <v>21.43</v>
      </c>
      <c r="U10" s="3" t="n">
        <v>24.04</v>
      </c>
      <c r="V10" s="3" t="n">
        <v>66.90000000000001</v>
      </c>
      <c r="W10" s="3" t="n">
        <v>39.55</v>
      </c>
      <c r="X10" s="3" t="n">
        <v>0.5600000000000001</v>
      </c>
      <c r="Y10" s="3" t="n">
        <v>64.34</v>
      </c>
      <c r="Z10" s="3" t="n">
        <v>1.25</v>
      </c>
      <c r="AA10" s="3" t="n">
        <v>1.41</v>
      </c>
      <c r="AB10" s="3" t="n">
        <v>2.09</v>
      </c>
      <c r="AC10" s="3" t="n">
        <v/>
      </c>
      <c r="AD10" s="3" t="n">
        <v>5.18</v>
      </c>
      <c r="AE10" s="3" t="n">
        <v>65.47</v>
      </c>
    </row>
    <row r="11">
      <c r="A11" s="4" t="inlineStr">
        <is>
          <t>2025-09-25 11:46:07</t>
        </is>
      </c>
      <c r="B11" s="5" t="n">
        <v>75.05</v>
      </c>
      <c r="C11" s="5" t="n">
        <v>104.11</v>
      </c>
      <c r="D11" s="5" t="n">
        <v>1.39</v>
      </c>
      <c r="E11" s="5" t="n">
        <v>148.52</v>
      </c>
      <c r="F11" s="5" t="n">
        <v>162.49</v>
      </c>
      <c r="G11" s="5" t="n">
        <v>1.43</v>
      </c>
      <c r="H11" s="5" t="n">
        <v>-5.15</v>
      </c>
      <c r="I11" s="5" t="n">
        <v>1.6</v>
      </c>
      <c r="J11" s="5" t="n">
        <v>1.54</v>
      </c>
      <c r="K11" s="5" t="n">
        <v>-0.06</v>
      </c>
      <c r="L11" s="5" t="n">
        <v>1.54</v>
      </c>
      <c r="M11" s="5" t="n">
        <v>-2.6</v>
      </c>
      <c r="N11" s="5" t="n">
        <v>23.19</v>
      </c>
      <c r="O11" s="5" t="n">
        <v>19.01</v>
      </c>
      <c r="P11" s="5" t="n">
        <v>25.88</v>
      </c>
      <c r="Q11" s="5" t="n">
        <v>4322.27</v>
      </c>
      <c r="R11" s="5" t="n">
        <v>0.09</v>
      </c>
      <c r="S11" s="5" t="n">
        <v>0.29</v>
      </c>
      <c r="T11" s="5" t="n">
        <v>12.3</v>
      </c>
      <c r="U11" s="5" t="n">
        <v>13.47</v>
      </c>
      <c r="V11" s="5" t="n">
        <v>71.45999999999999</v>
      </c>
      <c r="W11" s="5" t="n">
        <v>41.35</v>
      </c>
      <c r="X11" s="5" t="n">
        <v>0.06</v>
      </c>
      <c r="Y11" s="5" t="n">
        <v>62.16</v>
      </c>
      <c r="Z11" s="5" t="n">
        <v>1.29</v>
      </c>
      <c r="AA11" s="5" t="n">
        <v>0.01</v>
      </c>
      <c r="AB11" s="5" t="n">
        <v>2.6</v>
      </c>
      <c r="AC11" s="5" t="n">
        <v/>
      </c>
      <c r="AD11" s="5" t="n">
        <v>5.34</v>
      </c>
      <c r="AE11" s="5" t="n">
        <v>64.5</v>
      </c>
    </row>
    <row r="12">
      <c r="A12" s="2" t="inlineStr">
        <is>
          <t>2025-09-25 12:01:06</t>
        </is>
      </c>
      <c r="B12" s="3" t="n">
        <v>75.19</v>
      </c>
      <c r="C12" s="3" t="n">
        <v>96.90000000000001</v>
      </c>
      <c r="D12" s="3" t="n">
        <v>1.29</v>
      </c>
      <c r="E12" s="3" t="n">
        <v>135.01</v>
      </c>
      <c r="F12" s="3" t="n">
        <v>156.88</v>
      </c>
      <c r="G12" s="3" t="n">
        <v>7.7</v>
      </c>
      <c r="H12" s="3" t="n">
        <v>-16</v>
      </c>
      <c r="I12" s="3" t="n">
        <v>2.8</v>
      </c>
      <c r="J12" s="3" t="n">
        <v>0.38</v>
      </c>
      <c r="K12" s="3" t="n">
        <v>-2.42</v>
      </c>
      <c r="L12" s="3" t="n">
        <v>0.74</v>
      </c>
      <c r="M12" s="3" t="n">
        <v>-1.4</v>
      </c>
      <c r="N12" s="3" t="n">
        <v>21.05</v>
      </c>
      <c r="O12" s="3" t="n">
        <v>17.85</v>
      </c>
      <c r="P12" s="3" t="n">
        <v>22.64</v>
      </c>
      <c r="Q12" s="3" t="n">
        <v>3101.5</v>
      </c>
      <c r="R12" s="3" t="n">
        <v>-4.69</v>
      </c>
      <c r="S12" s="3" t="n">
        <v>-10.4</v>
      </c>
      <c r="T12" s="3" t="n">
        <v>-5.17</v>
      </c>
      <c r="U12" s="3" t="n">
        <v>-7.45</v>
      </c>
      <c r="V12" s="3" t="n">
        <v>51.21</v>
      </c>
      <c r="W12" s="3" t="n">
        <v>33.51</v>
      </c>
      <c r="X12" s="3" t="n">
        <v>2.17</v>
      </c>
      <c r="Y12" s="3" t="n">
        <v>71.76000000000001</v>
      </c>
      <c r="Z12" s="3" t="n">
        <v>1.27</v>
      </c>
      <c r="AA12" s="3" t="n">
        <v>-5.68</v>
      </c>
      <c r="AB12" s="3" t="n">
        <v>1.18</v>
      </c>
      <c r="AC12" s="3" t="n">
        <v/>
      </c>
      <c r="AD12" s="3" t="n">
        <v>4.53</v>
      </c>
      <c r="AE12" s="3" t="n">
        <v>68.09999999999999</v>
      </c>
    </row>
    <row r="13">
      <c r="A13" s="4" t="inlineStr">
        <is>
          <t>2025-09-25 11:46:25</t>
        </is>
      </c>
      <c r="B13" s="5" t="n">
        <v>76.09</v>
      </c>
      <c r="C13" s="5" t="n">
        <v>96.78</v>
      </c>
      <c r="D13" s="5" t="n">
        <v>1.27</v>
      </c>
      <c r="E13" s="5" t="n">
        <v>136.74</v>
      </c>
      <c r="F13" s="5" t="n">
        <v>159.41</v>
      </c>
      <c r="G13" s="5" t="n">
        <v>7.86</v>
      </c>
      <c r="H13" s="5" t="n">
        <v>-5.85</v>
      </c>
      <c r="I13" s="5" t="n">
        <v>2</v>
      </c>
      <c r="J13" s="5" t="n">
        <v>1.38</v>
      </c>
      <c r="K13" s="5" t="n">
        <v>-0.62</v>
      </c>
      <c r="L13" s="5" t="n">
        <v>1.46</v>
      </c>
      <c r="M13" s="5" t="n">
        <v>-1.2</v>
      </c>
      <c r="N13" s="5" t="n">
        <v>21.57</v>
      </c>
      <c r="O13" s="5" t="n">
        <v>18.66</v>
      </c>
      <c r="P13" s="5" t="n">
        <v>22.92</v>
      </c>
      <c r="Q13" s="5" t="n">
        <v>2792.92</v>
      </c>
      <c r="R13" s="5" t="n">
        <v>-1.29</v>
      </c>
      <c r="S13" s="5" t="n">
        <v>-2.77</v>
      </c>
      <c r="T13" s="5" t="n">
        <v>7.68</v>
      </c>
      <c r="U13" s="5" t="n">
        <v>8.56</v>
      </c>
      <c r="V13" s="5" t="n">
        <v>52.82</v>
      </c>
      <c r="W13" s="5" t="n">
        <v>33.68</v>
      </c>
      <c r="X13" s="5" t="n">
        <v>1.43</v>
      </c>
      <c r="Y13" s="5" t="n">
        <v>69.81999999999999</v>
      </c>
      <c r="Z13" s="5" t="n">
        <v>1.31</v>
      </c>
      <c r="AA13" s="5" t="n">
        <v>-1.45</v>
      </c>
      <c r="AB13" s="5" t="n">
        <v>1.14</v>
      </c>
      <c r="AC13" s="5" t="n">
        <v/>
      </c>
      <c r="AD13" s="5" t="n">
        <v>4.56</v>
      </c>
      <c r="AE13" s="5" t="n">
        <v>65.29000000000001</v>
      </c>
    </row>
    <row r="14">
      <c r="A14" s="2" t="inlineStr">
        <is>
          <t>2025-09-25 11:46:42</t>
        </is>
      </c>
      <c r="B14" s="3" t="n">
        <v>74.19</v>
      </c>
      <c r="C14" s="3" t="n">
        <v>102.99</v>
      </c>
      <c r="D14" s="3" t="n">
        <v>1.39</v>
      </c>
      <c r="E14" s="3" t="n">
        <v>145.92</v>
      </c>
      <c r="F14" s="3" t="n">
        <v>159.47</v>
      </c>
      <c r="G14" s="3" t="n">
        <v>0.08</v>
      </c>
      <c r="H14" s="3" t="n">
        <v>-7.67</v>
      </c>
      <c r="I14" s="3" t="n">
        <v>3.4</v>
      </c>
      <c r="J14" s="3" t="n">
        <v>3.21</v>
      </c>
      <c r="K14" s="3" t="n">
        <v>-0.19</v>
      </c>
      <c r="L14" s="3" t="n">
        <v>3.26</v>
      </c>
      <c r="M14" s="3" t="n">
        <v>-1.4</v>
      </c>
      <c r="N14" s="3" t="n">
        <v>23.61</v>
      </c>
      <c r="O14" s="3" t="n">
        <v>19.27</v>
      </c>
      <c r="P14" s="3" t="n">
        <v>25.06</v>
      </c>
      <c r="Q14" s="3" t="n">
        <v>4434.43</v>
      </c>
      <c r="R14" s="3" t="n">
        <v>-0.42</v>
      </c>
      <c r="S14" s="3" t="n">
        <v>-1.32</v>
      </c>
      <c r="T14" s="3" t="n">
        <v>23.61</v>
      </c>
      <c r="U14" s="3" t="n">
        <v>25.71</v>
      </c>
      <c r="V14" s="3" t="n">
        <v>70.94</v>
      </c>
      <c r="W14" s="3" t="n">
        <v>41.55</v>
      </c>
      <c r="X14" s="3" t="n">
        <v>2.65</v>
      </c>
      <c r="Y14" s="3" t="n">
        <v>61.99</v>
      </c>
      <c r="Z14" s="3" t="n">
        <v>1.25</v>
      </c>
      <c r="AA14" s="3" t="n">
        <v>-0.61</v>
      </c>
      <c r="AB14" s="3" t="n">
        <v>1.26</v>
      </c>
      <c r="AC14" s="3" t="n">
        <v/>
      </c>
      <c r="AD14" s="3" t="n">
        <v>5.3</v>
      </c>
      <c r="AE14" s="3" t="n">
        <v>63.72</v>
      </c>
    </row>
    <row r="15">
      <c r="A15" s="4" t="inlineStr">
        <is>
          <t>2025-09-25 11:48:51</t>
        </is>
      </c>
      <c r="B15" s="5" t="n">
        <v>74.91</v>
      </c>
      <c r="C15" s="5" t="n">
        <v>102.45</v>
      </c>
      <c r="D15" s="5" t="n">
        <v>1.37</v>
      </c>
      <c r="E15" s="5" t="n">
        <v>145.84</v>
      </c>
      <c r="F15" s="5" t="n">
        <v>160.01</v>
      </c>
      <c r="G15" s="5" t="n">
        <v>1.81</v>
      </c>
      <c r="H15" s="5" t="n">
        <v>-11.15</v>
      </c>
      <c r="I15" s="5" t="n">
        <v>3.8</v>
      </c>
      <c r="J15" s="5" t="n">
        <v>2.59</v>
      </c>
      <c r="K15" s="5" t="n">
        <v>-1.21</v>
      </c>
      <c r="L15" s="5" t="n">
        <v>2.82</v>
      </c>
      <c r="M15" s="5" t="n">
        <v>-1.2</v>
      </c>
      <c r="N15" s="5" t="n">
        <v>23.7</v>
      </c>
      <c r="O15" s="5" t="n">
        <v>19.56</v>
      </c>
      <c r="P15" s="5" t="n">
        <v>25.07</v>
      </c>
      <c r="Q15" s="5" t="n">
        <v>4216.13</v>
      </c>
      <c r="R15" s="5" t="n">
        <v>-2.29</v>
      </c>
      <c r="S15" s="5" t="n">
        <v>-7</v>
      </c>
      <c r="T15" s="5" t="n">
        <v>14.53</v>
      </c>
      <c r="U15" s="5" t="n">
        <v>15.44</v>
      </c>
      <c r="V15" s="5" t="n">
        <v>70.7</v>
      </c>
      <c r="W15" s="5" t="n">
        <v>41.26</v>
      </c>
      <c r="X15" s="5" t="n">
        <v>3.15</v>
      </c>
      <c r="Y15" s="5" t="n">
        <v>64.61</v>
      </c>
      <c r="Z15" s="5" t="n">
        <v>1.25</v>
      </c>
      <c r="AA15" s="5" t="n">
        <v>-2.73</v>
      </c>
      <c r="AB15" s="5" t="n">
        <v>1.14</v>
      </c>
      <c r="AC15" s="5" t="n">
        <v/>
      </c>
      <c r="AD15" s="5" t="n">
        <v>5.28</v>
      </c>
      <c r="AE15" s="5" t="n">
        <v>63.87</v>
      </c>
    </row>
    <row r="16">
      <c r="A16" s="2" t="inlineStr">
        <is>
          <t>2025-09-25 11:47:07</t>
        </is>
      </c>
      <c r="B16" s="3" t="n">
        <v>75.13</v>
      </c>
      <c r="C16" s="3" t="n">
        <v>100.71</v>
      </c>
      <c r="D16" s="3" t="n">
        <v>1.34</v>
      </c>
      <c r="E16" s="3" t="n">
        <v>142.12</v>
      </c>
      <c r="F16" s="3" t="n">
        <v>157.48</v>
      </c>
      <c r="G16" s="3" t="n">
        <v>-0.06</v>
      </c>
      <c r="H16" s="3" t="n">
        <v>-15.53</v>
      </c>
      <c r="I16" s="3" t="n">
        <v>1.2</v>
      </c>
      <c r="J16" s="3" t="n">
        <v>0.7</v>
      </c>
      <c r="K16" s="3" t="n">
        <v>-0.5</v>
      </c>
      <c r="L16" s="3" t="n">
        <v>0.8</v>
      </c>
      <c r="M16" s="3" t="n">
        <v>-2.2</v>
      </c>
      <c r="N16" s="3" t="n">
        <v>23.05</v>
      </c>
      <c r="O16" s="3" t="n">
        <v>18.93</v>
      </c>
      <c r="P16" s="3" t="n">
        <v>25.44</v>
      </c>
      <c r="Q16" s="3" t="n">
        <v>4121.55</v>
      </c>
      <c r="R16" s="3" t="n">
        <v>-0.98</v>
      </c>
      <c r="S16" s="3" t="n">
        <v>-2.8</v>
      </c>
      <c r="T16" s="3" t="n">
        <v>3.14</v>
      </c>
      <c r="U16" s="3" t="n">
        <v>3.25</v>
      </c>
      <c r="V16" s="3" t="n">
        <v>64.87</v>
      </c>
      <c r="W16" s="3" t="n">
        <v>39.48</v>
      </c>
      <c r="X16" s="3" t="n">
        <v>-0.05</v>
      </c>
      <c r="Y16" s="3" t="n">
        <v>62.29</v>
      </c>
      <c r="Z16" s="3" t="n">
        <v>1.28</v>
      </c>
      <c r="AA16" s="3" t="n">
        <v>-1.23</v>
      </c>
      <c r="AB16" s="3" t="n">
        <v>2.24</v>
      </c>
      <c r="AC16" s="3" t="n">
        <v/>
      </c>
      <c r="AD16" s="3" t="n">
        <v>5.08</v>
      </c>
      <c r="AE16" s="3" t="n">
        <v>65.03</v>
      </c>
    </row>
    <row r="17">
      <c r="A17" s="4" t="inlineStr">
        <is>
          <t>2025-09-25 11:47:23</t>
        </is>
      </c>
      <c r="B17" s="5" t="n">
        <v>73.73</v>
      </c>
      <c r="C17" s="5" t="n">
        <v>100.27</v>
      </c>
      <c r="D17" s="5" t="n">
        <v>1.36</v>
      </c>
      <c r="E17" s="5" t="n">
        <v>140.35</v>
      </c>
      <c r="F17" s="5" t="n">
        <v>158.55</v>
      </c>
      <c r="G17" s="5" t="n">
        <v>1.15</v>
      </c>
      <c r="H17" s="5" t="n">
        <v>-14.99</v>
      </c>
      <c r="I17" s="5" t="n">
        <v>3.8</v>
      </c>
      <c r="J17" s="5" t="n">
        <v>-2.27</v>
      </c>
      <c r="K17" s="5" t="n">
        <v>-6.08</v>
      </c>
      <c r="L17" s="5" t="n">
        <v>-1.22</v>
      </c>
      <c r="M17" s="5" t="n">
        <v>-0.6</v>
      </c>
      <c r="N17" s="5" t="n">
        <v>21.59</v>
      </c>
      <c r="O17" s="5" t="n">
        <v>17.95</v>
      </c>
      <c r="P17" s="5" t="n">
        <v>22.96</v>
      </c>
      <c r="Q17" s="5" t="n">
        <v>3761</v>
      </c>
      <c r="R17" s="5" t="n">
        <v>-12.56</v>
      </c>
      <c r="S17" s="5" t="n">
        <v>-33.01</v>
      </c>
      <c r="T17" s="5" t="n">
        <v>-41.91</v>
      </c>
      <c r="U17" s="5" t="n">
        <v>-50.9</v>
      </c>
      <c r="V17" s="5" t="n">
        <v>57.81</v>
      </c>
      <c r="W17" s="5" t="n">
        <v>36.34</v>
      </c>
      <c r="X17" s="5" t="n">
        <v>3.4</v>
      </c>
      <c r="Y17" s="5" t="n">
        <v>68.81</v>
      </c>
      <c r="Z17" s="5" t="n">
        <v>1.29</v>
      </c>
      <c r="AA17" s="5" t="n">
        <v>-14.36</v>
      </c>
      <c r="AB17" s="5" t="n">
        <v>0.39</v>
      </c>
      <c r="AC17" s="5" t="n">
        <v/>
      </c>
      <c r="AD17" s="5" t="n">
        <v>4.83</v>
      </c>
      <c r="AE17" s="5" t="n">
        <v>64.41</v>
      </c>
    </row>
    <row r="18">
      <c r="A18" s="2" t="inlineStr">
        <is>
          <t>2025-09-25 12:03:40</t>
        </is>
      </c>
      <c r="B18" s="3" t="n">
        <v>75.15000000000001</v>
      </c>
      <c r="C18" s="3" t="n">
        <v>95.20999999999999</v>
      </c>
      <c r="D18" s="3" t="n">
        <v>1.27</v>
      </c>
      <c r="E18" s="3" t="n">
        <v>131.92</v>
      </c>
      <c r="F18" s="3" t="n">
        <v>155.04</v>
      </c>
      <c r="G18" s="3" t="n">
        <v>8.960000000000001</v>
      </c>
      <c r="H18" s="3" t="n">
        <v>-6.08</v>
      </c>
      <c r="I18" s="3" t="n">
        <v>2.4</v>
      </c>
      <c r="J18" s="3" t="n">
        <v>0.6899999999999999</v>
      </c>
      <c r="K18" s="3" t="n">
        <v>-1.71</v>
      </c>
      <c r="L18" s="3" t="n">
        <v>0.9399999999999999</v>
      </c>
      <c r="M18" s="3" t="n">
        <v>-0.8</v>
      </c>
      <c r="N18" s="3" t="n">
        <v>21.17</v>
      </c>
      <c r="O18" s="3" t="n">
        <v>18.15</v>
      </c>
      <c r="P18" s="3" t="n">
        <v>22.09</v>
      </c>
      <c r="Q18" s="3" t="n">
        <v>2865.88</v>
      </c>
      <c r="R18" s="3" t="n">
        <v>-3.67</v>
      </c>
      <c r="S18" s="3" t="n">
        <v>-7.46</v>
      </c>
      <c r="T18" s="3" t="n">
        <v>-0.97</v>
      </c>
      <c r="U18" s="3" t="n">
        <v>-2.28</v>
      </c>
      <c r="V18" s="3" t="n">
        <v>49.07</v>
      </c>
      <c r="W18" s="3" t="n">
        <v>32.63</v>
      </c>
      <c r="X18" s="3" t="n">
        <v>1.98</v>
      </c>
      <c r="Y18" s="3" t="n">
        <v>69.03</v>
      </c>
      <c r="Z18" s="3" t="n">
        <v>1.25</v>
      </c>
      <c r="AA18" s="3" t="n">
        <v>-4.16</v>
      </c>
      <c r="AB18" s="3" t="n">
        <v>0.63</v>
      </c>
      <c r="AC18" s="3" t="n">
        <v/>
      </c>
      <c r="AD18" s="3" t="n">
        <v>4.41</v>
      </c>
      <c r="AE18" s="3" t="n">
        <v>65.95999999999999</v>
      </c>
    </row>
    <row r="19">
      <c r="A19" s="4" t="inlineStr">
        <is>
          <t>2025-09-25 11:47:59</t>
        </is>
      </c>
      <c r="B19" s="5" t="n">
        <v>75.40000000000001</v>
      </c>
      <c r="C19" s="5" t="n">
        <v>99.8</v>
      </c>
      <c r="D19" s="5" t="n">
        <v>1.32</v>
      </c>
      <c r="E19" s="5" t="n">
        <v>143.41</v>
      </c>
      <c r="F19" s="5" t="n">
        <v>159.64</v>
      </c>
      <c r="G19" s="5" t="n">
        <v>7.5</v>
      </c>
      <c r="H19" s="5" t="n">
        <v>-5.79</v>
      </c>
      <c r="I19" s="5" t="n">
        <v>3.4</v>
      </c>
      <c r="J19" s="5" t="n">
        <v>4.24</v>
      </c>
      <c r="K19" s="5" t="n">
        <v>0.84</v>
      </c>
      <c r="L19" s="5" t="n">
        <v>4.1</v>
      </c>
      <c r="M19" s="5" t="n">
        <v>-0.4</v>
      </c>
      <c r="N19" s="5" t="n">
        <v>24.15</v>
      </c>
      <c r="O19" s="5" t="n">
        <v>20.54</v>
      </c>
      <c r="P19" s="5" t="n">
        <v>24.62</v>
      </c>
      <c r="Q19" s="5" t="n">
        <v>3581.22</v>
      </c>
      <c r="R19" s="5" t="n">
        <v>1.75</v>
      </c>
      <c r="S19" s="5" t="n">
        <v>4.82</v>
      </c>
      <c r="T19" s="5" t="n">
        <v>35.58</v>
      </c>
      <c r="U19" s="5" t="n">
        <v>40.02</v>
      </c>
      <c r="V19" s="5" t="n">
        <v>68.65000000000001</v>
      </c>
      <c r="W19" s="5" t="n">
        <v>40.19</v>
      </c>
      <c r="X19" s="5" t="n">
        <v>3.1</v>
      </c>
      <c r="Y19" s="5" t="n">
        <v>64.63</v>
      </c>
      <c r="Z19" s="5" t="n">
        <v>1.23</v>
      </c>
      <c r="AA19" s="5" t="n">
        <v>1.87</v>
      </c>
      <c r="AB19" s="5" t="n">
        <v>0.24</v>
      </c>
      <c r="AC19" s="5" t="n">
        <v/>
      </c>
      <c r="AD19" s="5" t="n">
        <v>5.14</v>
      </c>
      <c r="AE19" s="5" t="n">
        <v>67.05</v>
      </c>
    </row>
    <row r="20">
      <c r="A20" s="2" t="inlineStr">
        <is>
          <t>2025-09-25 12:02:56</t>
        </is>
      </c>
      <c r="B20" s="3" t="n">
        <v>75.81</v>
      </c>
      <c r="C20" s="3" t="n">
        <v>102.19</v>
      </c>
      <c r="D20" s="3" t="n">
        <v>1.35</v>
      </c>
      <c r="E20" s="3" t="n">
        <v>143.77</v>
      </c>
      <c r="F20" s="3" t="n">
        <v>157.11</v>
      </c>
      <c r="G20" s="3" t="n">
        <v>3.7</v>
      </c>
      <c r="H20" s="3" t="n">
        <v>-11.43</v>
      </c>
      <c r="I20" s="3" t="n">
        <v>-0.2</v>
      </c>
      <c r="J20" s="3" t="n">
        <v>2.79</v>
      </c>
      <c r="K20" s="3" t="n">
        <v>2.99</v>
      </c>
      <c r="L20" s="3" t="n">
        <v>2.21</v>
      </c>
      <c r="M20" s="3" t="n">
        <v>-2.4</v>
      </c>
      <c r="N20" s="3" t="n">
        <v>23.8</v>
      </c>
      <c r="O20" s="3" t="n">
        <v>19.36</v>
      </c>
      <c r="P20" s="3" t="n">
        <v>26.57</v>
      </c>
      <c r="Q20" s="3" t="n">
        <v>4536.57</v>
      </c>
      <c r="R20" s="3" t="n">
        <v>5.97</v>
      </c>
      <c r="S20" s="3" t="n">
        <v>18.3</v>
      </c>
      <c r="T20" s="3" t="n">
        <v>34.87</v>
      </c>
      <c r="U20" s="3" t="n">
        <v>39.37</v>
      </c>
      <c r="V20" s="3" t="n">
        <v>69.83</v>
      </c>
      <c r="W20" s="3" t="n">
        <v>41.45</v>
      </c>
      <c r="X20" s="3" t="n">
        <v>-1.84</v>
      </c>
      <c r="Y20" s="3" t="n">
        <v>61.54</v>
      </c>
      <c r="Z20" s="3" t="n">
        <v>1.27</v>
      </c>
      <c r="AA20" s="3" t="n">
        <v>6.45</v>
      </c>
      <c r="AB20" s="3" t="n">
        <v>2.44</v>
      </c>
      <c r="AC20" s="3" t="n">
        <v/>
      </c>
      <c r="AD20" s="3" t="n">
        <v>5.26</v>
      </c>
      <c r="AE20" s="3" t="n">
        <v>66.56</v>
      </c>
    </row>
    <row r="21">
      <c r="A21" s="4" t="inlineStr">
        <is>
          <t>2025-09-25 12:03:10</t>
        </is>
      </c>
      <c r="B21" s="5" t="n">
        <v>74.23999999999999</v>
      </c>
      <c r="C21" s="5" t="n">
        <v>89.38</v>
      </c>
      <c r="D21" s="5" t="n">
        <v>1.2</v>
      </c>
      <c r="E21" s="5" t="n">
        <v>119.01</v>
      </c>
      <c r="F21" s="5" t="n">
        <v>143.49</v>
      </c>
      <c r="G21" s="5" t="n">
        <v>7.53</v>
      </c>
      <c r="H21" s="5" t="n">
        <v>-22.05</v>
      </c>
      <c r="I21" s="5" t="n">
        <v>2.2</v>
      </c>
      <c r="J21" s="5" t="n">
        <v>0.8100000000000001</v>
      </c>
      <c r="K21" s="5" t="n">
        <v>-1.39</v>
      </c>
      <c r="L21" s="5" t="n">
        <v>1</v>
      </c>
      <c r="M21" s="5" t="n">
        <v>-0.4</v>
      </c>
      <c r="N21" s="5" t="n">
        <v>21.62</v>
      </c>
      <c r="O21" s="5" t="n">
        <v>18.61</v>
      </c>
      <c r="P21" s="5" t="n">
        <v>22.21</v>
      </c>
      <c r="Q21" s="5" t="n">
        <v>2676.23</v>
      </c>
      <c r="R21" s="5" t="n">
        <v>-2.48</v>
      </c>
      <c r="S21" s="5" t="n">
        <v>-4.04</v>
      </c>
      <c r="T21" s="5" t="n">
        <v>2.19</v>
      </c>
      <c r="U21" s="5" t="n">
        <v>1.91</v>
      </c>
      <c r="V21" s="5" t="n">
        <v>42.75</v>
      </c>
      <c r="W21" s="5" t="n">
        <v>30.96</v>
      </c>
      <c r="X21" s="5" t="n">
        <v>1.87</v>
      </c>
      <c r="Y21" s="5" t="n">
        <v>72.52</v>
      </c>
      <c r="Z21" s="5" t="n">
        <v>1.29</v>
      </c>
      <c r="AA21" s="5" t="n">
        <v>-3.19</v>
      </c>
      <c r="AB21" s="5" t="n">
        <v>0.35</v>
      </c>
      <c r="AC21" s="5" t="n">
        <v/>
      </c>
      <c r="AD21" s="5" t="n">
        <v>4.06</v>
      </c>
      <c r="AE21" s="5" t="n">
        <v>65.31999999999999</v>
      </c>
    </row>
    <row r="22">
      <c r="A22" s="2" t="inlineStr">
        <is>
          <t>2025-09-25 11:48:34</t>
        </is>
      </c>
      <c r="B22" s="3" t="n">
        <v>74.56</v>
      </c>
      <c r="C22" s="3" t="n">
        <v>89.04000000000001</v>
      </c>
      <c r="D22" s="3" t="n">
        <v>1.19</v>
      </c>
      <c r="E22" s="3" t="n">
        <v>113.57</v>
      </c>
      <c r="F22" s="3" t="n">
        <v>144.47</v>
      </c>
      <c r="G22" s="3" t="n">
        <v>7.6</v>
      </c>
      <c r="H22" s="3" t="n">
        <v>-16.16</v>
      </c>
      <c r="I22" s="3" t="n">
        <v>5.2</v>
      </c>
      <c r="J22" s="3" t="n">
        <v>1.86</v>
      </c>
      <c r="K22" s="3" t="n">
        <v>-3.34</v>
      </c>
      <c r="L22" s="3" t="n">
        <v>2.28</v>
      </c>
      <c r="M22" s="3" t="n">
        <v>0.4</v>
      </c>
      <c r="N22" s="3" t="n">
        <v>19.73</v>
      </c>
      <c r="O22" s="3" t="n">
        <v>17.45</v>
      </c>
      <c r="P22" s="3" t="n">
        <v>19.52</v>
      </c>
      <c r="Q22" s="3" t="n">
        <v>2047.88</v>
      </c>
      <c r="R22" s="3" t="n">
        <v>-8.27</v>
      </c>
      <c r="S22" s="3" t="n">
        <v>-10</v>
      </c>
      <c r="T22" s="3" t="n">
        <v>3.58</v>
      </c>
      <c r="U22" s="3" t="n">
        <v>1.97</v>
      </c>
      <c r="V22" s="3" t="n">
        <v>34.95</v>
      </c>
      <c r="W22" s="3" t="n">
        <v>26.37</v>
      </c>
      <c r="X22" s="3" t="n">
        <v>5.28</v>
      </c>
      <c r="Y22" s="3" t="n">
        <v>76</v>
      </c>
      <c r="Z22" s="3" t="n">
        <v>1.27</v>
      </c>
      <c r="AA22" s="3" t="n">
        <v>-9.5</v>
      </c>
      <c r="AB22" s="3" t="n">
        <v>-0.63</v>
      </c>
      <c r="AC22" s="3" t="n">
        <v/>
      </c>
      <c r="AD22" s="3" t="n">
        <v>3.62</v>
      </c>
      <c r="AE22" s="3" t="n">
        <v>64.14</v>
      </c>
    </row>
    <row r="23">
      <c r="A23" s="4" t="inlineStr">
        <is>
          <t>2025-09-25 11:49:20</t>
        </is>
      </c>
      <c r="B23" s="5" t="n">
        <v>75.41</v>
      </c>
      <c r="C23" s="5" t="n">
        <v>102.5</v>
      </c>
      <c r="D23" s="5" t="n">
        <v>1.36</v>
      </c>
      <c r="E23" s="5" t="n">
        <v>148.05</v>
      </c>
      <c r="F23" s="5" t="n">
        <v>165.55</v>
      </c>
      <c r="G23" s="5" t="n">
        <v>6.58</v>
      </c>
      <c r="H23" s="5" t="n">
        <v>-6.32</v>
      </c>
      <c r="I23" s="5" t="n">
        <v>2.4</v>
      </c>
      <c r="J23" s="5" t="n">
        <v>1.83</v>
      </c>
      <c r="K23" s="5" t="n">
        <v>-0.57</v>
      </c>
      <c r="L23" s="5" t="n">
        <v>1.92</v>
      </c>
      <c r="M23" s="5" t="n">
        <v>-1.6</v>
      </c>
      <c r="N23" s="5" t="n">
        <v>22.36</v>
      </c>
      <c r="O23" s="5" t="n">
        <v>18.87</v>
      </c>
      <c r="P23" s="5" t="n">
        <v>23.99</v>
      </c>
      <c r="Q23" s="5" t="n">
        <v>3552.03</v>
      </c>
      <c r="R23" s="5" t="n">
        <v>-1.04</v>
      </c>
      <c r="S23" s="5" t="n">
        <v>-2.99</v>
      </c>
      <c r="T23" s="5" t="n">
        <v>11.86</v>
      </c>
      <c r="U23" s="5" t="n">
        <v>12.98</v>
      </c>
      <c r="V23" s="5" t="n">
        <v>65.81</v>
      </c>
      <c r="W23" s="5" t="n">
        <v>38.57</v>
      </c>
      <c r="X23" s="5" t="n">
        <v>1.6</v>
      </c>
      <c r="Y23" s="5" t="n">
        <v>66.93000000000001</v>
      </c>
      <c r="Z23" s="5" t="n">
        <v>1.21</v>
      </c>
      <c r="AA23" s="5" t="n">
        <v>-1.21</v>
      </c>
      <c r="AB23" s="5" t="n">
        <v>1.34</v>
      </c>
      <c r="AC23" s="5" t="n">
        <v/>
      </c>
      <c r="AD23" s="5" t="n">
        <v>5.12</v>
      </c>
      <c r="AE23" s="5" t="n">
        <v>65.97</v>
      </c>
    </row>
    <row r="24">
      <c r="A24" s="2" t="inlineStr">
        <is>
          <t>2025-09-25 11:49:06</t>
        </is>
      </c>
      <c r="B24" s="3" t="n">
        <v>75.06</v>
      </c>
      <c r="C24" s="3" t="n">
        <v>101.15</v>
      </c>
      <c r="D24" s="3" t="n">
        <v>1.35</v>
      </c>
      <c r="E24" s="3" t="n">
        <v>143.88</v>
      </c>
      <c r="F24" s="3" t="n">
        <v>165.38</v>
      </c>
      <c r="G24" s="3" t="n">
        <v>8.960000000000001</v>
      </c>
      <c r="H24" s="3" t="n">
        <v>-4.96</v>
      </c>
      <c r="I24" s="3" t="n">
        <v>4.6</v>
      </c>
      <c r="J24" s="3" t="n">
        <v>-1.62</v>
      </c>
      <c r="K24" s="3" t="n">
        <v>-6.22</v>
      </c>
      <c r="L24" s="3" t="n">
        <v>-0.6899999999999999</v>
      </c>
      <c r="M24" s="3" t="n">
        <v>-0.4</v>
      </c>
      <c r="N24" s="3" t="n">
        <v>20.86</v>
      </c>
      <c r="O24" s="3" t="n">
        <v>17.89</v>
      </c>
      <c r="P24" s="3" t="n">
        <v>22.11</v>
      </c>
      <c r="Q24" s="3" t="n">
        <v>3111</v>
      </c>
      <c r="R24" s="3" t="n">
        <v>-13.77</v>
      </c>
      <c r="S24" s="3" t="n">
        <v>-34.12</v>
      </c>
      <c r="T24" s="3" t="n">
        <v>-39.34</v>
      </c>
      <c r="U24" s="3" t="n">
        <v>-49.63</v>
      </c>
      <c r="V24" s="3" t="n">
        <v>56.02</v>
      </c>
      <c r="W24" s="3" t="n">
        <v>34.45</v>
      </c>
      <c r="X24" s="3" t="n">
        <v>4.32</v>
      </c>
      <c r="Y24" s="3" t="n">
        <v>72.06999999999999</v>
      </c>
      <c r="Z24" s="3" t="n">
        <v>1.19</v>
      </c>
      <c r="AA24" s="3" t="n">
        <v>-15.38</v>
      </c>
      <c r="AB24" s="3" t="n">
        <v>0.16</v>
      </c>
      <c r="AC24" s="3" t="n">
        <v/>
      </c>
      <c r="AD24" s="3" t="n">
        <v>4.74</v>
      </c>
      <c r="AE24" s="3" t="n">
        <v>64.95999999999999</v>
      </c>
    </row>
    <row r="25">
      <c r="A25" s="4" t="inlineStr">
        <is>
          <t>2025-09-25 12:01:43</t>
        </is>
      </c>
      <c r="B25" s="5" t="n">
        <v>75.8</v>
      </c>
      <c r="C25" s="5" t="n">
        <v>99.45</v>
      </c>
      <c r="D25" s="5" t="n">
        <v>1.31</v>
      </c>
      <c r="E25" s="5" t="n">
        <v>142.04</v>
      </c>
      <c r="F25" s="5" t="n">
        <v>158.52</v>
      </c>
      <c r="G25" s="5" t="n">
        <v>5.77</v>
      </c>
      <c r="H25" s="5" t="n">
        <v>-10.9</v>
      </c>
      <c r="I25" s="5" t="n">
        <v>0.6</v>
      </c>
      <c r="J25" s="5" t="n">
        <v>3.27</v>
      </c>
      <c r="K25" s="5" t="n">
        <v>2.67</v>
      </c>
      <c r="L25" s="5" t="n">
        <v>2.85</v>
      </c>
      <c r="M25" s="5" t="n">
        <v>-1</v>
      </c>
      <c r="N25" s="5" t="n">
        <v>23.8</v>
      </c>
      <c r="O25" s="5" t="n">
        <v>20.14</v>
      </c>
      <c r="P25" s="5" t="n">
        <v>25.11</v>
      </c>
      <c r="Q25" s="5" t="n">
        <v>3631</v>
      </c>
      <c r="R25" s="5" t="n">
        <v>5.19</v>
      </c>
      <c r="S25" s="5" t="n">
        <v>14.1</v>
      </c>
      <c r="T25" s="5" t="n">
        <v>35.27</v>
      </c>
      <c r="U25" s="5" t="n">
        <v>40.61</v>
      </c>
      <c r="V25" s="5" t="n">
        <v>66.37</v>
      </c>
      <c r="W25" s="5" t="n">
        <v>39.54</v>
      </c>
      <c r="X25" s="5" t="n">
        <v>0.1</v>
      </c>
      <c r="Y25" s="5" t="n">
        <v>66.44</v>
      </c>
      <c r="Z25" s="5" t="n">
        <v>1.24</v>
      </c>
      <c r="AA25" s="5" t="n">
        <v>5.58</v>
      </c>
      <c r="AB25" s="5" t="n">
        <v>0.9399999999999999</v>
      </c>
      <c r="AC25" s="5" t="n">
        <v/>
      </c>
      <c r="AD25" s="5" t="n">
        <v>5.07</v>
      </c>
      <c r="AE25" s="5" t="n">
        <v>63.34</v>
      </c>
    </row>
    <row r="26">
      <c r="A26" s="2" t="inlineStr">
        <is>
          <t>2025-09-25 12:00:15</t>
        </is>
      </c>
      <c r="B26" s="3" t="n">
        <v>74.13</v>
      </c>
      <c r="C26" s="3" t="n">
        <v>98.16</v>
      </c>
      <c r="D26" s="3" t="n">
        <v>1.32</v>
      </c>
      <c r="E26" s="3" t="n">
        <v>136.18</v>
      </c>
      <c r="F26" s="3" t="n">
        <v>151.1</v>
      </c>
      <c r="G26" s="3" t="n">
        <v>2.95</v>
      </c>
      <c r="H26" s="3" t="n">
        <v>-14.22</v>
      </c>
      <c r="I26" s="3" t="n">
        <v>2.2</v>
      </c>
      <c r="J26" s="3" t="n">
        <v>6.08</v>
      </c>
      <c r="K26" s="3" t="n">
        <v>3.88</v>
      </c>
      <c r="L26" s="3" t="n">
        <v>5.39</v>
      </c>
      <c r="M26" s="3" t="n">
        <v>-3.2</v>
      </c>
      <c r="N26" s="3" t="n">
        <v>23.64</v>
      </c>
      <c r="O26" s="3" t="n">
        <v>19.28</v>
      </c>
      <c r="P26" s="3" t="n">
        <v>27.25</v>
      </c>
      <c r="Q26" s="3" t="n">
        <v>4293.4</v>
      </c>
      <c r="R26" s="3" t="n">
        <v>7.17</v>
      </c>
      <c r="S26" s="3" t="n">
        <v>19.25</v>
      </c>
      <c r="T26" s="3" t="n">
        <v>57.49</v>
      </c>
      <c r="U26" s="3" t="n">
        <v>65.41</v>
      </c>
      <c r="V26" s="3" t="n">
        <v>62.19</v>
      </c>
      <c r="W26" s="3" t="n">
        <v>39.24</v>
      </c>
      <c r="X26" s="3" t="n">
        <v>0.71</v>
      </c>
      <c r="Y26" s="3" t="n">
        <v>67.47</v>
      </c>
      <c r="Z26" s="3" t="n">
        <v>1.21</v>
      </c>
      <c r="AA26" s="3" t="n">
        <v>7.85</v>
      </c>
      <c r="AB26" s="3" t="n">
        <v>2.91</v>
      </c>
      <c r="AC26" s="3" t="n">
        <v/>
      </c>
      <c r="AD26" s="3" t="n">
        <v>4.96</v>
      </c>
      <c r="AE26" s="3" t="n">
        <v>63.98</v>
      </c>
    </row>
    <row r="27">
      <c r="A27" s="4" t="inlineStr">
        <is>
          <t>2025-09-25 12:00:47</t>
        </is>
      </c>
      <c r="B27" s="5" t="n">
        <v>74.56</v>
      </c>
      <c r="C27" s="5" t="n">
        <v>88.56999999999999</v>
      </c>
      <c r="D27" s="5" t="n">
        <v>1.19</v>
      </c>
      <c r="E27" s="5" t="n">
        <v>110.97</v>
      </c>
      <c r="F27" s="5" t="n">
        <v>144.09</v>
      </c>
      <c r="G27" s="5" t="n">
        <v>8.460000000000001</v>
      </c>
      <c r="H27" s="5" t="n">
        <v>-18.62</v>
      </c>
      <c r="I27" s="5" t="n">
        <v>3.2</v>
      </c>
      <c r="J27" s="5" t="n">
        <v>2.22</v>
      </c>
      <c r="K27" s="5" t="n">
        <v>-0.98</v>
      </c>
      <c r="L27" s="5" t="n">
        <v>2.32</v>
      </c>
      <c r="M27" s="5" t="n">
        <v>-1.4</v>
      </c>
      <c r="N27" s="5" t="n">
        <v>19.39</v>
      </c>
      <c r="O27" s="5" t="n">
        <v>17.37</v>
      </c>
      <c r="P27" s="5" t="n">
        <v>20.95</v>
      </c>
      <c r="Q27" s="5" t="n">
        <v>1783.89</v>
      </c>
      <c r="R27" s="5" t="n">
        <v>-1.97</v>
      </c>
      <c r="S27" s="5" t="n">
        <v>-2.05</v>
      </c>
      <c r="T27" s="5" t="n">
        <v>11.43</v>
      </c>
      <c r="U27" s="5" t="n">
        <v>14.26</v>
      </c>
      <c r="V27" s="5" t="n">
        <v>33.03</v>
      </c>
      <c r="W27" s="5" t="n">
        <v>25.27</v>
      </c>
      <c r="X27" s="5" t="n">
        <v>2.63</v>
      </c>
      <c r="Y27" s="5" t="n">
        <v>73.2</v>
      </c>
      <c r="Z27" s="5" t="n">
        <v>1.28</v>
      </c>
      <c r="AA27" s="5" t="n">
        <v>-2.47</v>
      </c>
      <c r="AB27" s="5" t="n">
        <v>1.26</v>
      </c>
      <c r="AC27" s="5" t="n">
        <v/>
      </c>
      <c r="AD27" s="5" t="n">
        <v>3.47</v>
      </c>
      <c r="AE27" s="5" t="n">
        <v>65.59999999999999</v>
      </c>
    </row>
    <row r="28">
      <c r="A28" s="2" t="inlineStr">
        <is>
          <t>2025-09-25 12:02:42</t>
        </is>
      </c>
      <c r="B28" s="3" t="n">
        <v>76.66</v>
      </c>
      <c r="C28" s="3" t="n">
        <v>98.81</v>
      </c>
      <c r="D28" s="3" t="n">
        <v>1.29</v>
      </c>
      <c r="E28" s="3" t="n">
        <v>139.58</v>
      </c>
      <c r="F28" s="3" t="n">
        <v>155.55</v>
      </c>
      <c r="G28" s="3" t="n">
        <v>4</v>
      </c>
      <c r="H28" s="3" t="n">
        <v>-18.06</v>
      </c>
      <c r="I28" s="3" t="n">
        <v>0.8</v>
      </c>
      <c r="J28" s="3" t="n">
        <v>1.77</v>
      </c>
      <c r="K28" s="3" t="n">
        <v>0.97</v>
      </c>
      <c r="L28" s="3" t="n">
        <v>1.61</v>
      </c>
      <c r="M28" s="3" t="n">
        <v>-1</v>
      </c>
      <c r="N28" s="3" t="n">
        <v>23.64</v>
      </c>
      <c r="O28" s="3" t="n">
        <v>19.7</v>
      </c>
      <c r="P28" s="3" t="n">
        <v>24.82</v>
      </c>
      <c r="Q28" s="3" t="n">
        <v>3864.3</v>
      </c>
      <c r="R28" s="3" t="n">
        <v>1.87</v>
      </c>
      <c r="S28" s="3" t="n">
        <v>5.06</v>
      </c>
      <c r="T28" s="3" t="n">
        <v>16.82</v>
      </c>
      <c r="U28" s="3" t="n">
        <v>19.19</v>
      </c>
      <c r="V28" s="3" t="n">
        <v>64.34</v>
      </c>
      <c r="W28" s="3" t="n">
        <v>39.32</v>
      </c>
      <c r="X28" s="3" t="n">
        <v>0.27</v>
      </c>
      <c r="Y28" s="3" t="n">
        <v>65.63</v>
      </c>
      <c r="Z28" s="3" t="n">
        <v>1.26</v>
      </c>
      <c r="AA28" s="3" t="n">
        <v>1.98</v>
      </c>
      <c r="AB28" s="3" t="n">
        <v>0.9399999999999999</v>
      </c>
      <c r="AC28" s="3" t="n">
        <v/>
      </c>
      <c r="AD28" s="3" t="n">
        <v>5.02</v>
      </c>
      <c r="AE28" s="3" t="n">
        <v>65.31999999999999</v>
      </c>
    </row>
    <row r="29">
      <c r="A29" s="4" t="inlineStr">
        <is>
          <t>2025-09-25 12:01:25</t>
        </is>
      </c>
      <c r="B29" s="5" t="n">
        <v>75.8</v>
      </c>
      <c r="C29" s="5" t="n">
        <v>95.06999999999999</v>
      </c>
      <c r="D29" s="5" t="n">
        <v>1.25</v>
      </c>
      <c r="E29" s="5" t="n">
        <v>129.64</v>
      </c>
      <c r="F29" s="5" t="n">
        <v>145.32</v>
      </c>
      <c r="G29" s="5" t="n">
        <v>3.43</v>
      </c>
      <c r="H29" s="5" t="n">
        <v>-22.64</v>
      </c>
      <c r="I29" s="5" t="n">
        <v>2.2</v>
      </c>
      <c r="J29" s="5" t="n">
        <v>5.07</v>
      </c>
      <c r="K29" s="5" t="n">
        <v>2.87</v>
      </c>
      <c r="L29" s="5" t="n">
        <v>4.54</v>
      </c>
      <c r="M29" s="5" t="n">
        <v>-2.2</v>
      </c>
      <c r="N29" s="5" t="n">
        <v>23.59</v>
      </c>
      <c r="O29" s="5" t="n">
        <v>19.09</v>
      </c>
      <c r="P29" s="5" t="n">
        <v>26.12</v>
      </c>
      <c r="Q29" s="5" t="n">
        <v>4269</v>
      </c>
      <c r="R29" s="5" t="n">
        <v>5.38</v>
      </c>
      <c r="S29" s="5" t="n">
        <v>13.1</v>
      </c>
      <c r="T29" s="5" t="n">
        <v>43.79</v>
      </c>
      <c r="U29" s="5" t="n">
        <v>50.34</v>
      </c>
      <c r="V29" s="5" t="n">
        <v>56.74</v>
      </c>
      <c r="W29" s="5" t="n">
        <v>37.8</v>
      </c>
      <c r="X29" s="5" t="n">
        <v>1.21</v>
      </c>
      <c r="Y29" s="5" t="n">
        <v>67.97</v>
      </c>
      <c r="Z29" s="5" t="n">
        <v>1.2</v>
      </c>
      <c r="AA29" s="5" t="n">
        <v>5.89</v>
      </c>
      <c r="AB29" s="5" t="n">
        <v>2.01</v>
      </c>
      <c r="AC29" s="5" t="n">
        <v/>
      </c>
      <c r="AD29" s="5" t="n">
        <v>4.74</v>
      </c>
      <c r="AE29" s="5" t="n">
        <v>63.63</v>
      </c>
    </row>
    <row r="30">
      <c r="A30" s="2" t="inlineStr">
        <is>
          <t>2025-09-25 12:02:30</t>
        </is>
      </c>
      <c r="B30" s="3" t="n">
        <v>75.03</v>
      </c>
      <c r="C30" s="3" t="n">
        <v>96.22</v>
      </c>
      <c r="D30" s="3" t="n">
        <v>1.28</v>
      </c>
      <c r="E30" s="3" t="n">
        <v>133.54</v>
      </c>
      <c r="F30" s="3" t="n">
        <v>156.14</v>
      </c>
      <c r="G30" s="3" t="n">
        <v>10.32</v>
      </c>
      <c r="H30" s="3" t="n">
        <v>-6.36</v>
      </c>
      <c r="I30" s="3" t="n">
        <v>0.2</v>
      </c>
      <c r="J30" s="3" t="n">
        <v>-0.62</v>
      </c>
      <c r="K30" s="3" t="n">
        <v>-0.82</v>
      </c>
      <c r="L30" s="3" t="n">
        <v>-0.5</v>
      </c>
      <c r="M30" s="3" t="n">
        <v>-1.8</v>
      </c>
      <c r="N30" s="3" t="n">
        <v>20.91</v>
      </c>
      <c r="O30" s="3" t="n">
        <v>17.76</v>
      </c>
      <c r="P30" s="3" t="n">
        <v>22.87</v>
      </c>
      <c r="Q30" s="3" t="n">
        <v>3004.68</v>
      </c>
      <c r="R30" s="3" t="n">
        <v>-1.67</v>
      </c>
      <c r="S30" s="3" t="n">
        <v>-3.56</v>
      </c>
      <c r="T30" s="3" t="n">
        <v>-7.06</v>
      </c>
      <c r="U30" s="3" t="n">
        <v>-8.779999999999999</v>
      </c>
      <c r="V30" s="3" t="n">
        <v>49.64</v>
      </c>
      <c r="W30" s="3" t="n">
        <v>32.86</v>
      </c>
      <c r="X30" s="3" t="n">
        <v>-0.54</v>
      </c>
      <c r="Y30" s="3" t="n">
        <v>71.19</v>
      </c>
      <c r="Z30" s="3" t="n">
        <v>1.23</v>
      </c>
      <c r="AA30" s="3" t="n">
        <v>-1.95</v>
      </c>
      <c r="AB30" s="3" t="n">
        <v>1.61</v>
      </c>
      <c r="AC30" s="3" t="n">
        <v/>
      </c>
      <c r="AD30" s="3" t="n">
        <v>4.46</v>
      </c>
      <c r="AE30" s="3" t="n">
        <v>65.95999999999999</v>
      </c>
    </row>
    <row r="31">
      <c r="A31" s="4" t="inlineStr">
        <is>
          <t>2025-09-25 12:03:23</t>
        </is>
      </c>
      <c r="B31" s="5" t="n">
        <v>74.26000000000001</v>
      </c>
      <c r="C31" s="5" t="n">
        <v>99.14</v>
      </c>
      <c r="D31" s="5" t="n">
        <v>1.33</v>
      </c>
      <c r="E31" s="5" t="n">
        <v>139.38</v>
      </c>
      <c r="F31" s="5" t="n">
        <v>157.84</v>
      </c>
      <c r="G31" s="5" t="n">
        <v>2.57</v>
      </c>
      <c r="H31" s="5" t="n">
        <v>-18.11</v>
      </c>
      <c r="I31" s="5" t="n">
        <v>2.6</v>
      </c>
      <c r="J31" s="5" t="n">
        <v>-0.59</v>
      </c>
      <c r="K31" s="5" t="n">
        <v>-3.19</v>
      </c>
      <c r="L31" s="5" t="n">
        <v>-0.06</v>
      </c>
      <c r="M31" s="5" t="n">
        <v>-1.4</v>
      </c>
      <c r="N31" s="5" t="n">
        <v>21.88</v>
      </c>
      <c r="O31" s="5" t="n">
        <v>18.24</v>
      </c>
      <c r="P31" s="5" t="n">
        <v>23.57</v>
      </c>
      <c r="Q31" s="5" t="n">
        <v>3615.8</v>
      </c>
      <c r="R31" s="5" t="n">
        <v>-6.31</v>
      </c>
      <c r="S31" s="5" t="n">
        <v>-16.18</v>
      </c>
      <c r="T31" s="5" t="n">
        <v>-16.6</v>
      </c>
      <c r="U31" s="5" t="n">
        <v>-20.56</v>
      </c>
      <c r="V31" s="5" t="n">
        <v>57.83</v>
      </c>
      <c r="W31" s="5" t="n">
        <v>36.43</v>
      </c>
      <c r="X31" s="5" t="n">
        <v>1.86</v>
      </c>
      <c r="Y31" s="5" t="n">
        <v>66.02</v>
      </c>
      <c r="Z31" s="5" t="n">
        <v>1.28</v>
      </c>
      <c r="AA31" s="5" t="n">
        <v>-7.41</v>
      </c>
      <c r="AB31" s="5" t="n">
        <v>1.26</v>
      </c>
      <c r="AC31" s="5" t="n">
        <v/>
      </c>
      <c r="AD31" s="5" t="n">
        <v>4.82</v>
      </c>
      <c r="AE31" s="5" t="n">
        <v>64.79000000000001</v>
      </c>
    </row>
    <row r="33">
      <c r="A33" s="6" t="inlineStr">
        <is>
          <t>Pos Av</t>
        </is>
      </c>
      <c r="B33" s="7">
        <f>IF(COUNTIF(B2:B31,"&gt;0"),AVERAGEIF(B2:B31,"&gt;0"),"—")</f>
        <v/>
      </c>
      <c r="C33" s="7">
        <f>IF(COUNTIF(C2:C31,"&gt;0"),AVERAGEIF(C2:C31,"&gt;0"),"—")</f>
        <v/>
      </c>
      <c r="D33" s="7">
        <f>IF(COUNTIF(D2:D31,"&gt;0"),AVERAGEIF(D2:D31,"&gt;0"),"—")</f>
        <v/>
      </c>
      <c r="E33" s="7">
        <f>IF(COUNTIF(E2:E31,"&gt;0"),AVERAGEIF(E2:E31,"&gt;0"),"—")</f>
        <v/>
      </c>
      <c r="F33" s="7">
        <f>IF(COUNTIF(F2:F31,"&gt;0"),AVERAGEIF(F2:F31,"&gt;0"),"—")</f>
        <v/>
      </c>
      <c r="G33" s="7">
        <f>IF(COUNTIF(G2:G31,"&gt;0"),AVERAGEIF(G2:G31,"&gt;0"),"—")</f>
        <v/>
      </c>
      <c r="H33" s="7">
        <f>IF(COUNTIF(H2:H31,"&gt;0"),AVERAGEIF(H2:H31,"&gt;0"),"—")</f>
        <v/>
      </c>
      <c r="I33" s="7">
        <f>IF(COUNTIF(I2:I31,"&gt;0"),AVERAGEIF(I2:I31,"&gt;0"),"—")</f>
        <v/>
      </c>
      <c r="J33" s="7">
        <f>IF(COUNTIF(J2:J31,"&gt;0"),AVERAGEIF(J2:J31,"&gt;0"),"—")</f>
        <v/>
      </c>
      <c r="K33" s="7">
        <f>IF(COUNTIF(K2:K31,"&gt;0"),AVERAGEIF(K2:K31,"&gt;0"),"—")</f>
        <v/>
      </c>
      <c r="L33" s="7">
        <f>IF(COUNTIF(L2:L31,"&gt;0"),AVERAGEIF(L2:L31,"&gt;0"),"—")</f>
        <v/>
      </c>
      <c r="M33" s="7">
        <f>IF(COUNTIF(M2:M31,"&gt;0"),AVERAGEIF(M2:M31,"&gt;0"),"—")</f>
        <v/>
      </c>
      <c r="N33" s="7">
        <f>IF(COUNTIF(N2:N31,"&gt;0"),AVERAGEIF(N2:N31,"&gt;0"),"—")</f>
        <v/>
      </c>
      <c r="O33" s="7">
        <f>IF(COUNTIF(O2:O31,"&gt;0"),AVERAGEIF(O2:O31,"&gt;0"),"—")</f>
        <v/>
      </c>
      <c r="P33" s="7">
        <f>IF(COUNTIF(P2:P31,"&gt;0"),AVERAGEIF(P2:P31,"&gt;0"),"—")</f>
        <v/>
      </c>
      <c r="Q33" s="7">
        <f>IF(COUNTIF(Q2:Q31,"&gt;0"),AVERAGEIF(Q2:Q31,"&gt;0"),"—")</f>
        <v/>
      </c>
      <c r="R33" s="7">
        <f>IF(COUNTIF(R2:R31,"&gt;0"),AVERAGEIF(R2:R31,"&gt;0"),"—")</f>
        <v/>
      </c>
      <c r="S33" s="7">
        <f>IF(COUNTIF(S2:S31,"&gt;0"),AVERAGEIF(S2:S31,"&gt;0"),"—")</f>
        <v/>
      </c>
      <c r="T33" s="7">
        <f>IF(COUNTIF(T2:T31,"&gt;0"),AVERAGEIF(T2:T31,"&gt;0"),"—")</f>
        <v/>
      </c>
      <c r="U33" s="7">
        <f>IF(COUNTIF(U2:U31,"&gt;0"),AVERAGEIF(U2:U31,"&gt;0"),"—")</f>
        <v/>
      </c>
      <c r="V33" s="7">
        <f>IF(COUNTIF(V2:V31,"&gt;0"),AVERAGEIF(V2:V31,"&gt;0"),"—")</f>
        <v/>
      </c>
      <c r="W33" s="7">
        <f>IF(COUNTIF(W2:W31,"&gt;0"),AVERAGEIF(W2:W31,"&gt;0"),"—")</f>
        <v/>
      </c>
      <c r="X33" s="7">
        <f>IF(COUNTIF(X2:X31,"&gt;0"),AVERAGEIF(X2:X31,"&gt;0"),"—")</f>
        <v/>
      </c>
      <c r="Y33" s="7">
        <f>IF(COUNTIF(Y2:Y31,"&gt;0"),AVERAGEIF(Y2:Y31,"&gt;0"),"—")</f>
        <v/>
      </c>
      <c r="Z33" s="7">
        <f>IF(COUNTIF(Z2:Z31,"&gt;0"),AVERAGEIF(Z2:Z31,"&gt;0"),"—")</f>
        <v/>
      </c>
      <c r="AA33" s="7">
        <f>IF(COUNTIF(AA2:AA31,"&gt;0"),AVERAGEIF(AA2:AA31,"&gt;0"),"—")</f>
        <v/>
      </c>
      <c r="AB33" s="7">
        <f>IF(COUNTIF(AB2:AB31,"&gt;0"),AVERAGEIF(AB2:AB31,"&gt;0"),"—")</f>
        <v/>
      </c>
      <c r="AC33" s="7">
        <f>IF(COUNTIF(AC2:AC31,"&gt;0"),AVERAGEIF(AC2:AC31,"&gt;0"),"—")</f>
        <v/>
      </c>
      <c r="AD33" s="7">
        <f>IF(COUNTIF(AD2:AD31,"&gt;0"),AVERAGEIF(AD2:AD31,"&gt;0"),"—")</f>
        <v/>
      </c>
      <c r="AE33" s="7">
        <f>IF(COUNTIF(AE2:AE31,"&gt;0"),AVERAGEIF(AE2:AE31,"&gt;0"),"—")</f>
        <v/>
      </c>
    </row>
    <row r="34">
      <c r="A34" s="6" t="inlineStr">
        <is>
          <t>Neg Av</t>
        </is>
      </c>
      <c r="B34" s="7">
        <f>IF(COUNTIF(B2:B31,"&lt;0"),AVERAGEIF(B2:B31,"&lt;0"),"—")</f>
        <v/>
      </c>
      <c r="C34" s="7">
        <f>IF(COUNTIF(C2:C31,"&lt;0"),AVERAGEIF(C2:C31,"&lt;0"),"—")</f>
        <v/>
      </c>
      <c r="D34" s="7">
        <f>IF(COUNTIF(D2:D31,"&lt;0"),AVERAGEIF(D2:D31,"&lt;0"),"—")</f>
        <v/>
      </c>
      <c r="E34" s="7">
        <f>IF(COUNTIF(E2:E31,"&lt;0"),AVERAGEIF(E2:E31,"&lt;0"),"—")</f>
        <v/>
      </c>
      <c r="F34" s="7">
        <f>IF(COUNTIF(F2:F31,"&lt;0"),AVERAGEIF(F2:F31,"&lt;0"),"—")</f>
        <v/>
      </c>
      <c r="G34" s="7">
        <f>IF(COUNTIF(G2:G31,"&lt;0"),AVERAGEIF(G2:G31,"&lt;0"),"—")</f>
        <v/>
      </c>
      <c r="H34" s="7">
        <f>IF(COUNTIF(H2:H31,"&lt;0"),AVERAGEIF(H2:H31,"&lt;0"),"—")</f>
        <v/>
      </c>
      <c r="I34" s="7">
        <f>IF(COUNTIF(I2:I31,"&lt;0"),AVERAGEIF(I2:I31,"&lt;0"),"—")</f>
        <v/>
      </c>
      <c r="J34" s="7">
        <f>IF(COUNTIF(J2:J31,"&lt;0"),AVERAGEIF(J2:J31,"&lt;0"),"—")</f>
        <v/>
      </c>
      <c r="K34" s="7">
        <f>IF(COUNTIF(K2:K31,"&lt;0"),AVERAGEIF(K2:K31,"&lt;0"),"—")</f>
        <v/>
      </c>
      <c r="L34" s="7">
        <f>IF(COUNTIF(L2:L31,"&lt;0"),AVERAGEIF(L2:L31,"&lt;0"),"—")</f>
        <v/>
      </c>
      <c r="M34" s="7">
        <f>IF(COUNTIF(M2:M31,"&lt;0"),AVERAGEIF(M2:M31,"&lt;0"),"—")</f>
        <v/>
      </c>
      <c r="N34" s="7">
        <f>IF(COUNTIF(N2:N31,"&lt;0"),AVERAGEIF(N2:N31,"&lt;0"),"—")</f>
        <v/>
      </c>
      <c r="O34" s="7">
        <f>IF(COUNTIF(O2:O31,"&lt;0"),AVERAGEIF(O2:O31,"&lt;0"),"—")</f>
        <v/>
      </c>
      <c r="P34" s="7">
        <f>IF(COUNTIF(P2:P31,"&lt;0"),AVERAGEIF(P2:P31,"&lt;0"),"—")</f>
        <v/>
      </c>
      <c r="Q34" s="7">
        <f>IF(COUNTIF(Q2:Q31,"&lt;0"),AVERAGEIF(Q2:Q31,"&lt;0"),"—")</f>
        <v/>
      </c>
      <c r="R34" s="7">
        <f>IF(COUNTIF(R2:R31,"&lt;0"),AVERAGEIF(R2:R31,"&lt;0"),"—")</f>
        <v/>
      </c>
      <c r="S34" s="7">
        <f>IF(COUNTIF(S2:S31,"&lt;0"),AVERAGEIF(S2:S31,"&lt;0"),"—")</f>
        <v/>
      </c>
      <c r="T34" s="7">
        <f>IF(COUNTIF(T2:T31,"&lt;0"),AVERAGEIF(T2:T31,"&lt;0"),"—")</f>
        <v/>
      </c>
      <c r="U34" s="7">
        <f>IF(COUNTIF(U2:U31,"&lt;0"),AVERAGEIF(U2:U31,"&lt;0"),"—")</f>
        <v/>
      </c>
      <c r="V34" s="7">
        <f>IF(COUNTIF(V2:V31,"&lt;0"),AVERAGEIF(V2:V31,"&lt;0"),"—")</f>
        <v/>
      </c>
      <c r="W34" s="7">
        <f>IF(COUNTIF(W2:W31,"&lt;0"),AVERAGEIF(W2:W31,"&lt;0"),"—")</f>
        <v/>
      </c>
      <c r="X34" s="7">
        <f>IF(COUNTIF(X2:X31,"&lt;0"),AVERAGEIF(X2:X31,"&lt;0"),"—")</f>
        <v/>
      </c>
      <c r="Y34" s="7">
        <f>IF(COUNTIF(Y2:Y31,"&lt;0"),AVERAGEIF(Y2:Y31,"&lt;0"),"—")</f>
        <v/>
      </c>
      <c r="Z34" s="7">
        <f>IF(COUNTIF(Z2:Z31,"&lt;0"),AVERAGEIF(Z2:Z31,"&lt;0"),"—")</f>
        <v/>
      </c>
      <c r="AA34" s="7">
        <f>IF(COUNTIF(AA2:AA31,"&lt;0"),AVERAGEIF(AA2:AA31,"&lt;0"),"—")</f>
        <v/>
      </c>
      <c r="AB34" s="7">
        <f>IF(COUNTIF(AB2:AB31,"&lt;0"),AVERAGEIF(AB2:AB31,"&lt;0"),"—")</f>
        <v/>
      </c>
      <c r="AC34" s="7">
        <f>IF(COUNTIF(AC2:AC31,"&lt;0"),AVERAGEIF(AC2:AC31,"&lt;0"),"—")</f>
        <v/>
      </c>
      <c r="AD34" s="7">
        <f>IF(COUNTIF(AD2:AD31,"&lt;0"),AVERAGEIF(AD2:AD31,"&lt;0"),"—")</f>
        <v/>
      </c>
      <c r="AE34" s="7">
        <f>IF(COUNTIF(AE2:AE31,"&lt;0"),AVERAGEIF(AE2:AE31,"&lt;0"),"—")</f>
        <v/>
      </c>
    </row>
    <row r="35">
      <c r="A35" s="6" t="inlineStr">
        <is>
          <t>1 Av</t>
        </is>
      </c>
      <c r="B35" s="7">
        <f>IF(COUNTA(B2:B31),AVERAGE(B2:B31),"—")</f>
        <v/>
      </c>
      <c r="C35" s="7">
        <f>IF(COUNTA(C2:C31),AVERAGE(C2:C31),"—")</f>
        <v/>
      </c>
      <c r="D35" s="7">
        <f>IF(COUNTA(D2:D31),AVERAGE(D2:D31),"—")</f>
        <v/>
      </c>
      <c r="E35" s="7">
        <f>IF(COUNTA(E2:E31),AVERAGE(E2:E31),"—")</f>
        <v/>
      </c>
      <c r="F35" s="7">
        <f>IF(COUNTA(F2:F31),AVERAGE(F2:F31),"—")</f>
        <v/>
      </c>
      <c r="G35" s="7">
        <f>IF(COUNTA(G2:G31),AVERAGE(G2:G31),"—")</f>
        <v/>
      </c>
      <c r="H35" s="7">
        <f>IF(COUNTA(H2:H31),AVERAGE(H2:H31),"—")</f>
        <v/>
      </c>
      <c r="I35" s="7">
        <f>IF(COUNTA(I2:I31),AVERAGE(I2:I31),"—")</f>
        <v/>
      </c>
      <c r="J35" s="7">
        <f>IF(COUNTA(J2:J31),AVERAGE(J2:J31),"—")</f>
        <v/>
      </c>
      <c r="K35" s="7">
        <f>IF(COUNTA(K2:K31),AVERAGE(K2:K31),"—")</f>
        <v/>
      </c>
      <c r="L35" s="7">
        <f>IF(COUNTA(L2:L31),AVERAGE(L2:L31),"—")</f>
        <v/>
      </c>
      <c r="M35" s="7">
        <f>IF(COUNTA(M2:M31),AVERAGE(M2:M31),"—")</f>
        <v/>
      </c>
      <c r="N35" s="7">
        <f>IF(COUNTA(N2:N31),AVERAGE(N2:N31),"—")</f>
        <v/>
      </c>
      <c r="O35" s="7">
        <f>IF(COUNTA(O2:O31),AVERAGE(O2:O31),"—")</f>
        <v/>
      </c>
      <c r="P35" s="7">
        <f>IF(COUNTA(P2:P31),AVERAGE(P2:P31),"—")</f>
        <v/>
      </c>
      <c r="Q35" s="7">
        <f>IF(COUNTA(Q2:Q31),AVERAGE(Q2:Q31),"—")</f>
        <v/>
      </c>
      <c r="R35" s="7">
        <f>IF(COUNTA(R2:R31),AVERAGE(R2:R31),"—")</f>
        <v/>
      </c>
      <c r="S35" s="7">
        <f>IF(COUNTA(S2:S31),AVERAGE(S2:S31),"—")</f>
        <v/>
      </c>
      <c r="T35" s="7">
        <f>IF(COUNTA(T2:T31),AVERAGE(T2:T31),"—")</f>
        <v/>
      </c>
      <c r="U35" s="7">
        <f>IF(COUNTA(U2:U31),AVERAGE(U2:U31),"—")</f>
        <v/>
      </c>
      <c r="V35" s="7">
        <f>IF(COUNTA(V2:V31),AVERAGE(V2:V31),"—")</f>
        <v/>
      </c>
      <c r="W35" s="7">
        <f>IF(COUNTA(W2:W31),AVERAGE(W2:W31),"—")</f>
        <v/>
      </c>
      <c r="X35" s="7">
        <f>IF(COUNTA(X2:X31),AVERAGE(X2:X31),"—")</f>
        <v/>
      </c>
      <c r="Y35" s="7">
        <f>IF(COUNTA(Y2:Y31),AVERAGE(Y2:Y31),"—")</f>
        <v/>
      </c>
      <c r="Z35" s="7">
        <f>IF(COUNTA(Z2:Z31),AVERAGE(Z2:Z31),"—")</f>
        <v/>
      </c>
      <c r="AA35" s="7">
        <f>IF(COUNTA(AA2:AA31),AVERAGE(AA2:AA31),"—")</f>
        <v/>
      </c>
      <c r="AB35" s="7">
        <f>IF(COUNTA(AB2:AB31),AVERAGE(AB2:AB31),"—")</f>
        <v/>
      </c>
      <c r="AC35" s="7">
        <f>IF(COUNTA(AC2:AC31),AVERAGE(AC2:AC31),"—")</f>
        <v/>
      </c>
      <c r="AD35" s="7">
        <f>IF(COUNTA(AD2:AD31),AVERAGE(AD2:AD31),"—")</f>
        <v/>
      </c>
      <c r="AE35" s="7">
        <f>IF(COUNTA(AE2:AE31),AVERAGE(AE2:AE31),"—")</f>
        <v/>
      </c>
    </row>
    <row r="36">
      <c r="A36" s="6" t="inlineStr">
        <is>
          <t>Spread</t>
        </is>
      </c>
      <c r="B36" s="7">
        <f>IF(AND(ISNUMBER(B33),ISNUMBER(B34)),B33-B34,"—")</f>
        <v/>
      </c>
      <c r="C36" s="7">
        <f>IF(AND(ISNUMBER(C33),ISNUMBER(C34)),C33-C34,"—")</f>
        <v/>
      </c>
      <c r="D36" s="7">
        <f>IF(AND(ISNUMBER(D33),ISNUMBER(D34)),D33-D34,"—")</f>
        <v/>
      </c>
      <c r="E36" s="7">
        <f>IF(AND(ISNUMBER(E33),ISNUMBER(E34)),E33-E34,"—")</f>
        <v/>
      </c>
      <c r="F36" s="7">
        <f>IF(AND(ISNUMBER(F33),ISNUMBER(F34)),F33-F34,"—")</f>
        <v/>
      </c>
      <c r="G36" s="7">
        <f>IF(AND(ISNUMBER(G33),ISNUMBER(G34)),G33-G34,"—")</f>
        <v/>
      </c>
      <c r="H36" s="7">
        <f>IF(AND(ISNUMBER(H33),ISNUMBER(H34)),H33-H34,"—")</f>
        <v/>
      </c>
      <c r="I36" s="7">
        <f>IF(AND(ISNUMBER(I33),ISNUMBER(I34)),I33-I34,"—")</f>
        <v/>
      </c>
      <c r="J36" s="7">
        <f>IF(AND(ISNUMBER(J33),ISNUMBER(J34)),J33-J34,"—")</f>
        <v/>
      </c>
      <c r="K36" s="7">
        <f>IF(AND(ISNUMBER(K33),ISNUMBER(K34)),K33-K34,"—")</f>
        <v/>
      </c>
      <c r="L36" s="7">
        <f>IF(AND(ISNUMBER(L33),ISNUMBER(L34)),L33-L34,"—")</f>
        <v/>
      </c>
      <c r="M36" s="7">
        <f>IF(AND(ISNUMBER(M33),ISNUMBER(M34)),M33-M34,"—")</f>
        <v/>
      </c>
      <c r="N36" s="7">
        <f>IF(AND(ISNUMBER(N33),ISNUMBER(N34)),N33-N34,"—")</f>
        <v/>
      </c>
      <c r="O36" s="7">
        <f>IF(AND(ISNUMBER(O33),ISNUMBER(O34)),O33-O34,"—")</f>
        <v/>
      </c>
      <c r="P36" s="7">
        <f>IF(AND(ISNUMBER(P33),ISNUMBER(P34)),P33-P34,"—")</f>
        <v/>
      </c>
      <c r="Q36" s="7">
        <f>IF(AND(ISNUMBER(Q33),ISNUMBER(Q34)),Q33-Q34,"—")</f>
        <v/>
      </c>
      <c r="R36" s="7">
        <f>IF(AND(ISNUMBER(R33),ISNUMBER(R34)),R33-R34,"—")</f>
        <v/>
      </c>
      <c r="S36" s="7">
        <f>IF(AND(ISNUMBER(S33),ISNUMBER(S34)),S33-S34,"—")</f>
        <v/>
      </c>
      <c r="T36" s="7">
        <f>IF(AND(ISNUMBER(T33),ISNUMBER(T34)),T33-T34,"—")</f>
        <v/>
      </c>
      <c r="U36" s="7">
        <f>IF(AND(ISNUMBER(U33),ISNUMBER(U34)),U33-U34,"—")</f>
        <v/>
      </c>
      <c r="V36" s="7">
        <f>IF(AND(ISNUMBER(V33),ISNUMBER(V34)),V33-V34,"—")</f>
        <v/>
      </c>
      <c r="W36" s="7">
        <f>IF(AND(ISNUMBER(W33),ISNUMBER(W34)),W33-W34,"—")</f>
        <v/>
      </c>
      <c r="X36" s="7">
        <f>IF(AND(ISNUMBER(X33),ISNUMBER(X34)),X33-X34,"—")</f>
        <v/>
      </c>
      <c r="Y36" s="7">
        <f>IF(AND(ISNUMBER(Y33),ISNUMBER(Y34)),Y33-Y34,"—")</f>
        <v/>
      </c>
      <c r="Z36" s="7">
        <f>IF(AND(ISNUMBER(Z33),ISNUMBER(Z34)),Z33-Z34,"—")</f>
        <v/>
      </c>
      <c r="AA36" s="7">
        <f>IF(AND(ISNUMBER(AA33),ISNUMBER(AA34)),AA33-AA34,"—")</f>
        <v/>
      </c>
      <c r="AB36" s="7">
        <f>IF(AND(ISNUMBER(AB33),ISNUMBER(AB34)),AB33-AB34,"—")</f>
        <v/>
      </c>
      <c r="AC36" s="7">
        <f>IF(AND(ISNUMBER(AC33),ISNUMBER(AC34)),AC33-AC34,"—")</f>
        <v/>
      </c>
      <c r="AD36" s="7">
        <f>IF(AND(ISNUMBER(AD33),ISNUMBER(AD34)),AD33-AD34,"—")</f>
        <v/>
      </c>
      <c r="AE36" s="7">
        <f>IF(AND(ISNUMBER(AE33),ISNUMBER(AE34)),AE33-AE34,"—")</f>
        <v/>
      </c>
    </row>
    <row r="37">
      <c r="A37" s="6" t="inlineStr">
        <is>
          <t>% Pos</t>
        </is>
      </c>
      <c r="B37" s="8">
        <f>IF(COUNTA(B2:B31),COUNTIF(B2:B31,"&gt;0")/COUNTA(B2:B31),"—")</f>
        <v/>
      </c>
      <c r="C37" s="8">
        <f>IF(COUNTA(C2:C31),COUNTIF(C2:C31,"&gt;0")/COUNTA(C2:C31),"—")</f>
        <v/>
      </c>
      <c r="D37" s="8">
        <f>IF(COUNTA(D2:D31),COUNTIF(D2:D31,"&gt;0")/COUNTA(D2:D31),"—")</f>
        <v/>
      </c>
      <c r="E37" s="8">
        <f>IF(COUNTA(E2:E31),COUNTIF(E2:E31,"&gt;0")/COUNTA(E2:E31),"—")</f>
        <v/>
      </c>
      <c r="F37" s="8">
        <f>IF(COUNTA(F2:F31),COUNTIF(F2:F31,"&gt;0")/COUNTA(F2:F31),"—")</f>
        <v/>
      </c>
      <c r="G37" s="8">
        <f>IF(COUNTA(G2:G31),COUNTIF(G2:G31,"&gt;0")/COUNTA(G2:G31),"—")</f>
        <v/>
      </c>
      <c r="H37" s="8">
        <f>IF(COUNTA(H2:H31),COUNTIF(H2:H31,"&gt;0")/COUNTA(H2:H31),"—")</f>
        <v/>
      </c>
      <c r="I37" s="8">
        <f>IF(COUNTA(I2:I31),COUNTIF(I2:I31,"&gt;0")/COUNTA(I2:I31),"—")</f>
        <v/>
      </c>
      <c r="J37" s="8">
        <f>IF(COUNTA(J2:J31),COUNTIF(J2:J31,"&gt;0")/COUNTA(J2:J31),"—")</f>
        <v/>
      </c>
      <c r="K37" s="8">
        <f>IF(COUNTA(K2:K31),COUNTIF(K2:K31,"&gt;0")/COUNTA(K2:K31),"—")</f>
        <v/>
      </c>
      <c r="L37" s="8">
        <f>IF(COUNTA(L2:L31),COUNTIF(L2:L31,"&gt;0")/COUNTA(L2:L31),"—")</f>
        <v/>
      </c>
      <c r="M37" s="8">
        <f>IF(COUNTA(M2:M31),COUNTIF(M2:M31,"&gt;0")/COUNTA(M2:M31),"—")</f>
        <v/>
      </c>
      <c r="N37" s="8">
        <f>IF(COUNTA(N2:N31),COUNTIF(N2:N31,"&gt;0")/COUNTA(N2:N31),"—")</f>
        <v/>
      </c>
      <c r="O37" s="8">
        <f>IF(COUNTA(O2:O31),COUNTIF(O2:O31,"&gt;0")/COUNTA(O2:O31),"—")</f>
        <v/>
      </c>
      <c r="P37" s="8">
        <f>IF(COUNTA(P2:P31),COUNTIF(P2:P31,"&gt;0")/COUNTA(P2:P31),"—")</f>
        <v/>
      </c>
      <c r="Q37" s="8">
        <f>IF(COUNTA(Q2:Q31),COUNTIF(Q2:Q31,"&gt;0")/COUNTA(Q2:Q31),"—")</f>
        <v/>
      </c>
      <c r="R37" s="8">
        <f>IF(COUNTA(R2:R31),COUNTIF(R2:R31,"&gt;0")/COUNTA(R2:R31),"—")</f>
        <v/>
      </c>
      <c r="S37" s="8">
        <f>IF(COUNTA(S2:S31),COUNTIF(S2:S31,"&gt;0")/COUNTA(S2:S31),"—")</f>
        <v/>
      </c>
      <c r="T37" s="8">
        <f>IF(COUNTA(T2:T31),COUNTIF(T2:T31,"&gt;0")/COUNTA(T2:T31),"—")</f>
        <v/>
      </c>
      <c r="U37" s="8">
        <f>IF(COUNTA(U2:U31),COUNTIF(U2:U31,"&gt;0")/COUNTA(U2:U31),"—")</f>
        <v/>
      </c>
      <c r="V37" s="8">
        <f>IF(COUNTA(V2:V31),COUNTIF(V2:V31,"&gt;0")/COUNTA(V2:V31),"—")</f>
        <v/>
      </c>
      <c r="W37" s="8">
        <f>IF(COUNTA(W2:W31),COUNTIF(W2:W31,"&gt;0")/COUNTA(W2:W31),"—")</f>
        <v/>
      </c>
      <c r="X37" s="8">
        <f>IF(COUNTA(X2:X31),COUNTIF(X2:X31,"&gt;0")/COUNTA(X2:X31),"—")</f>
        <v/>
      </c>
      <c r="Y37" s="8">
        <f>IF(COUNTA(Y2:Y31),COUNTIF(Y2:Y31,"&gt;0")/COUNTA(Y2:Y31),"—")</f>
        <v/>
      </c>
      <c r="Z37" s="8">
        <f>IF(COUNTA(Z2:Z31),COUNTIF(Z2:Z31,"&gt;0")/COUNTA(Z2:Z31),"—")</f>
        <v/>
      </c>
      <c r="AA37" s="8">
        <f>IF(COUNTA(AA2:AA31),COUNTIF(AA2:AA31,"&gt;0")/COUNTA(AA2:AA31),"—")</f>
        <v/>
      </c>
      <c r="AB37" s="8">
        <f>IF(COUNTA(AB2:AB31),COUNTIF(AB2:AB31,"&gt;0")/COUNTA(AB2:AB31),"—")</f>
        <v/>
      </c>
      <c r="AC37" s="8">
        <f>IF(COUNTA(AC2:AC31),COUNTIF(AC2:AC31,"&gt;0")/COUNTA(AC2:AC31),"—")</f>
        <v/>
      </c>
      <c r="AD37" s="8">
        <f>IF(COUNTA(AD2:AD31),COUNTIF(AD2:AD31,"&gt;0")/COUNTA(AD2:AD31),"—")</f>
        <v/>
      </c>
      <c r="AE37" s="8">
        <f>IF(COUNTA(AE2:AE31),COUNTIF(AE2:AE31,"&gt;0")/COUNTA(AE2:AE31),"—")</f>
        <v/>
      </c>
    </row>
    <row r="38">
      <c r="A38" s="6" t="inlineStr">
        <is>
          <t>% Neg</t>
        </is>
      </c>
      <c r="B38" s="8">
        <f>IF(COUNTA(B2:B31),COUNTIF(B2:B31,"&lt;0")/COUNTA(B2:B31),"—")</f>
        <v/>
      </c>
      <c r="C38" s="8">
        <f>IF(COUNTA(C2:C31),COUNTIF(C2:C31,"&lt;0")/COUNTA(C2:C31),"—")</f>
        <v/>
      </c>
      <c r="D38" s="8">
        <f>IF(COUNTA(D2:D31),COUNTIF(D2:D31,"&lt;0")/COUNTA(D2:D31),"—")</f>
        <v/>
      </c>
      <c r="E38" s="8">
        <f>IF(COUNTA(E2:E31),COUNTIF(E2:E31,"&lt;0")/COUNTA(E2:E31),"—")</f>
        <v/>
      </c>
      <c r="F38" s="8">
        <f>IF(COUNTA(F2:F31),COUNTIF(F2:F31,"&lt;0")/COUNTA(F2:F31),"—")</f>
        <v/>
      </c>
      <c r="G38" s="8">
        <f>IF(COUNTA(G2:G31),COUNTIF(G2:G31,"&lt;0")/COUNTA(G2:G31),"—")</f>
        <v/>
      </c>
      <c r="H38" s="8">
        <f>IF(COUNTA(H2:H31),COUNTIF(H2:H31,"&lt;0")/COUNTA(H2:H31),"—")</f>
        <v/>
      </c>
      <c r="I38" s="8">
        <f>IF(COUNTA(I2:I31),COUNTIF(I2:I31,"&lt;0")/COUNTA(I2:I31),"—")</f>
        <v/>
      </c>
      <c r="J38" s="8">
        <f>IF(COUNTA(J2:J31),COUNTIF(J2:J31,"&lt;0")/COUNTA(J2:J31),"—")</f>
        <v/>
      </c>
      <c r="K38" s="8">
        <f>IF(COUNTA(K2:K31),COUNTIF(K2:K31,"&lt;0")/COUNTA(K2:K31),"—")</f>
        <v/>
      </c>
      <c r="L38" s="8">
        <f>IF(COUNTA(L2:L31),COUNTIF(L2:L31,"&lt;0")/COUNTA(L2:L31),"—")</f>
        <v/>
      </c>
      <c r="M38" s="8">
        <f>IF(COUNTA(M2:M31),COUNTIF(M2:M31,"&lt;0")/COUNTA(M2:M31),"—")</f>
        <v/>
      </c>
      <c r="N38" s="8">
        <f>IF(COUNTA(N2:N31),COUNTIF(N2:N31,"&lt;0")/COUNTA(N2:N31),"—")</f>
        <v/>
      </c>
      <c r="O38" s="8">
        <f>IF(COUNTA(O2:O31),COUNTIF(O2:O31,"&lt;0")/COUNTA(O2:O31),"—")</f>
        <v/>
      </c>
      <c r="P38" s="8">
        <f>IF(COUNTA(P2:P31),COUNTIF(P2:P31,"&lt;0")/COUNTA(P2:P31),"—")</f>
        <v/>
      </c>
      <c r="Q38" s="8">
        <f>IF(COUNTA(Q2:Q31),COUNTIF(Q2:Q31,"&lt;0")/COUNTA(Q2:Q31),"—")</f>
        <v/>
      </c>
      <c r="R38" s="8">
        <f>IF(COUNTA(R2:R31),COUNTIF(R2:R31,"&lt;0")/COUNTA(R2:R31),"—")</f>
        <v/>
      </c>
      <c r="S38" s="8">
        <f>IF(COUNTA(S2:S31),COUNTIF(S2:S31,"&lt;0")/COUNTA(S2:S31),"—")</f>
        <v/>
      </c>
      <c r="T38" s="8">
        <f>IF(COUNTA(T2:T31),COUNTIF(T2:T31,"&lt;0")/COUNTA(T2:T31),"—")</f>
        <v/>
      </c>
      <c r="U38" s="8">
        <f>IF(COUNTA(U2:U31),COUNTIF(U2:U31,"&lt;0")/COUNTA(U2:U31),"—")</f>
        <v/>
      </c>
      <c r="V38" s="8">
        <f>IF(COUNTA(V2:V31),COUNTIF(V2:V31,"&lt;0")/COUNTA(V2:V31),"—")</f>
        <v/>
      </c>
      <c r="W38" s="8">
        <f>IF(COUNTA(W2:W31),COUNTIF(W2:W31,"&lt;0")/COUNTA(W2:W31),"—")</f>
        <v/>
      </c>
      <c r="X38" s="8">
        <f>IF(COUNTA(X2:X31),COUNTIF(X2:X31,"&lt;0")/COUNTA(X2:X31),"—")</f>
        <v/>
      </c>
      <c r="Y38" s="8">
        <f>IF(COUNTA(Y2:Y31),COUNTIF(Y2:Y31,"&lt;0")/COUNTA(Y2:Y31),"—")</f>
        <v/>
      </c>
      <c r="Z38" s="8">
        <f>IF(COUNTA(Z2:Z31),COUNTIF(Z2:Z31,"&lt;0")/COUNTA(Z2:Z31),"—")</f>
        <v/>
      </c>
      <c r="AA38" s="8">
        <f>IF(COUNTA(AA2:AA31),COUNTIF(AA2:AA31,"&lt;0")/COUNTA(AA2:AA31),"—")</f>
        <v/>
      </c>
      <c r="AB38" s="8">
        <f>IF(COUNTA(AB2:AB31),COUNTIF(AB2:AB31,"&lt;0")/COUNTA(AB2:AB31),"—")</f>
        <v/>
      </c>
      <c r="AC38" s="8">
        <f>IF(COUNTA(AC2:AC31),COUNTIF(AC2:AC31,"&lt;0")/COUNTA(AC2:AC31),"—")</f>
        <v/>
      </c>
      <c r="AD38" s="8">
        <f>IF(COUNTA(AD2:AD31),COUNTIF(AD2:AD31,"&lt;0")/COUNTA(AD2:AD31),"—")</f>
        <v/>
      </c>
      <c r="AE38" s="8">
        <f>IF(COUNTA(AE2:AE31),COUNTIF(AE2:AE31,"&lt;0")/COUNTA(AE2:AE31),"—")</f>
        <v/>
      </c>
    </row>
  </sheetData>
  <autoFilter ref="A1:AE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70" customHeight="1">
      <c r="A1" s="1" t="inlineStr">
        <is>
          <t>Time</t>
        </is>
      </c>
      <c r="B1" s="1" t="inlineStr">
        <is>
          <t>Club Speed (Mph)</t>
        </is>
      </c>
      <c r="C1" s="1" t="inlineStr">
        <is>
          <t>Ball Speed (Mph)</t>
        </is>
      </c>
      <c r="D1" s="1" t="inlineStr">
        <is>
          <t>Smash Factor</t>
        </is>
      </c>
      <c r="E1" s="1" t="inlineStr">
        <is>
          <t>Carry (Yds)</t>
        </is>
      </c>
      <c r="F1" s="1" t="inlineStr">
        <is>
          <t>Total (Yds)</t>
        </is>
      </c>
      <c r="G1" s="1" t="inlineStr">
        <is>
          <t>Impact Height (mm)</t>
        </is>
      </c>
      <c r="H1" s="1" t="inlineStr">
        <is>
          <t>Impact Offset (mm)</t>
        </is>
      </c>
      <c r="I1" s="1" t="inlineStr">
        <is>
          <t>Club Path (Deg)</t>
        </is>
      </c>
      <c r="J1" s="1" t="inlineStr">
        <is>
          <t>Face Angle (Deg)</t>
        </is>
      </c>
      <c r="K1" s="1" t="inlineStr">
        <is>
          <t>Face To Path (Deg)</t>
        </is>
      </c>
      <c r="L1" s="1" t="inlineStr">
        <is>
          <t>Launch Direction (Deg)</t>
        </is>
      </c>
      <c r="M1" s="1" t="inlineStr">
        <is>
          <t>Attack Angle (Deg)</t>
        </is>
      </c>
      <c r="N1" s="1" t="inlineStr">
        <is>
          <t>Dynamic Loft (Deg)</t>
        </is>
      </c>
      <c r="O1" s="1" t="inlineStr">
        <is>
          <t>Launch Angle (Deg)</t>
        </is>
      </c>
      <c r="P1" s="1" t="inlineStr">
        <is>
          <t>Spin Loft (Deg)</t>
        </is>
      </c>
      <c r="Q1" s="1" t="inlineStr">
        <is>
          <t>Spin Rate (Rpm)</t>
        </is>
      </c>
      <c r="R1" s="1" t="inlineStr">
        <is>
          <t>Spin Axis (Deg)</t>
        </is>
      </c>
      <c r="S1" s="1" t="inlineStr">
        <is>
          <t>Curve (Ft)</t>
        </is>
      </c>
      <c r="T1" s="1" t="inlineStr">
        <is>
          <t>Carry Side (Ft)</t>
        </is>
      </c>
      <c r="U1" s="1" t="inlineStr">
        <is>
          <t>Total Side (Ft)</t>
        </is>
      </c>
      <c r="V1" s="1" t="inlineStr">
        <is>
          <t>Max Height (Ft)</t>
        </is>
      </c>
      <c r="W1" s="1" t="inlineStr">
        <is>
          <t>Landing Angle (Deg)</t>
        </is>
      </c>
      <c r="X1" s="1" t="inlineStr">
        <is>
          <t>Swing Direction (Deg)</t>
        </is>
      </c>
      <c r="Y1" s="1" t="inlineStr">
        <is>
          <t>Swing Plane (Deg)</t>
        </is>
      </c>
      <c r="Z1" s="1" t="inlineStr">
        <is>
          <t>Swing Radius</t>
        </is>
      </c>
      <c r="AA1" s="1" t="inlineStr">
        <is>
          <t>DPlane Tilt</t>
        </is>
      </c>
      <c r="AB1" s="1" t="inlineStr">
        <is>
          <t>Low Point (In)</t>
        </is>
      </c>
      <c r="AC1" s="1" t="inlineStr">
        <is>
          <t>Landing Height</t>
        </is>
      </c>
      <c r="AD1" s="1" t="inlineStr">
        <is>
          <t>Hang Time (Sec)</t>
        </is>
      </c>
      <c r="AE1" s="1" t="inlineStr">
        <is>
          <t>Dynamic Lie (Deg)</t>
        </is>
      </c>
    </row>
    <row r="2">
      <c r="A2" s="2" t="inlineStr">
        <is>
          <t>2025-09-25 11:37:16</t>
        </is>
      </c>
      <c r="B2" s="3" t="n">
        <v>67.63</v>
      </c>
      <c r="C2" s="3" t="n">
        <v>85.70999999999999</v>
      </c>
      <c r="D2" s="3" t="n">
        <v>1.27</v>
      </c>
      <c r="E2" s="3" t="n">
        <v>109.84</v>
      </c>
      <c r="F2" s="3" t="n">
        <v>118.43</v>
      </c>
      <c r="G2" s="3" t="n">
        <v>3.67</v>
      </c>
      <c r="H2" s="3" t="n">
        <v>-5.82</v>
      </c>
      <c r="I2" s="3" t="n">
        <v>0.6</v>
      </c>
      <c r="J2" s="3" t="n">
        <v>-1.86</v>
      </c>
      <c r="K2" s="3" t="n">
        <v>-2.46</v>
      </c>
      <c r="L2" s="3" t="n">
        <v>-1.27</v>
      </c>
      <c r="M2" s="3" t="n">
        <v>-2.4</v>
      </c>
      <c r="N2" s="3" t="n">
        <v>31.43</v>
      </c>
      <c r="O2" s="3" t="n">
        <v>24.73</v>
      </c>
      <c r="P2" s="3" t="n">
        <v>34.01</v>
      </c>
      <c r="Q2" s="3" t="n">
        <v>5708.29</v>
      </c>
      <c r="R2" s="3" t="n">
        <v>-3.62</v>
      </c>
      <c r="S2" s="3" t="n">
        <v>-7.76</v>
      </c>
      <c r="T2" s="3" t="n">
        <v>-15.09</v>
      </c>
      <c r="U2" s="3" t="n">
        <v>-16.66</v>
      </c>
      <c r="V2" s="3" t="n">
        <v>63.6</v>
      </c>
      <c r="W2" s="3" t="n">
        <v>44.56</v>
      </c>
      <c r="X2" s="3" t="n">
        <v>-0.23</v>
      </c>
      <c r="Y2" s="3" t="n">
        <v>70.66</v>
      </c>
      <c r="Z2" s="3" t="n">
        <v>1.2</v>
      </c>
      <c r="AA2" s="3" t="n">
        <v>-3.87</v>
      </c>
      <c r="AB2" s="3" t="n">
        <v>2.17</v>
      </c>
      <c r="AC2" s="3" t="n">
        <v/>
      </c>
      <c r="AD2" s="3" t="n">
        <v>4.77</v>
      </c>
      <c r="AE2" s="3" t="n">
        <v>68.75</v>
      </c>
    </row>
    <row r="3">
      <c r="A3" s="4" t="inlineStr">
        <is>
          <t>2025-09-25 11:40:13</t>
        </is>
      </c>
      <c r="B3" s="5" t="n">
        <v>70.84999999999999</v>
      </c>
      <c r="C3" s="5" t="n">
        <v>90.33</v>
      </c>
      <c r="D3" s="5" t="n">
        <v>1.27</v>
      </c>
      <c r="E3" s="5" t="n">
        <v>117.11</v>
      </c>
      <c r="F3" s="5" t="n">
        <v>124.23</v>
      </c>
      <c r="G3" s="5" t="n">
        <v>3.64</v>
      </c>
      <c r="H3" s="5" t="n">
        <v>-0.1</v>
      </c>
      <c r="I3" s="5" t="n">
        <v>3</v>
      </c>
      <c r="J3" s="5" t="n">
        <v>-1.01</v>
      </c>
      <c r="K3" s="5" t="n">
        <v>-4.01</v>
      </c>
      <c r="L3" s="5" t="n">
        <v>-0.08</v>
      </c>
      <c r="M3" s="5" t="n">
        <v>-1.6</v>
      </c>
      <c r="N3" s="5" t="n">
        <v>31.66</v>
      </c>
      <c r="O3" s="5" t="n">
        <v>24.89</v>
      </c>
      <c r="P3" s="5" t="n">
        <v>33.61</v>
      </c>
      <c r="Q3" s="5" t="n">
        <v>6106.16</v>
      </c>
      <c r="R3" s="5" t="n">
        <v>-5.69</v>
      </c>
      <c r="S3" s="5" t="n">
        <v>-14.24</v>
      </c>
      <c r="T3" s="5" t="n">
        <v>-14.73</v>
      </c>
      <c r="U3" s="5" t="n">
        <v>-16.15</v>
      </c>
      <c r="V3" s="5" t="n">
        <v>72.48999999999999</v>
      </c>
      <c r="W3" s="5" t="n">
        <v>46.85</v>
      </c>
      <c r="X3" s="5" t="n">
        <v>2.14</v>
      </c>
      <c r="Y3" s="5" t="n">
        <v>66.45999999999999</v>
      </c>
      <c r="Z3" s="5" t="n">
        <v>1.22</v>
      </c>
      <c r="AA3" s="5" t="n">
        <v>-6.07</v>
      </c>
      <c r="AB3" s="5" t="n">
        <v>1.57</v>
      </c>
      <c r="AC3" s="5" t="n">
        <v/>
      </c>
      <c r="AD3" s="5" t="n">
        <v>5.09</v>
      </c>
      <c r="AE3" s="5" t="n">
        <v>66.41</v>
      </c>
    </row>
    <row r="4">
      <c r="A4" s="2" t="inlineStr">
        <is>
          <t>2025-09-25 11:37:33</t>
        </is>
      </c>
      <c r="B4" s="3" t="n">
        <v>68.79000000000001</v>
      </c>
      <c r="C4" s="3" t="n">
        <v>87.39</v>
      </c>
      <c r="D4" s="3" t="n">
        <v>1.27</v>
      </c>
      <c r="E4" s="3" t="n">
        <v>112.54</v>
      </c>
      <c r="F4" s="3" t="n">
        <v>121.26</v>
      </c>
      <c r="G4" s="3" t="n">
        <v>3.76</v>
      </c>
      <c r="H4" s="3" t="n">
        <v>-13.86</v>
      </c>
      <c r="I4" s="3" t="n">
        <v>2</v>
      </c>
      <c r="J4" s="3" t="n">
        <v>-2.24</v>
      </c>
      <c r="K4" s="3" t="n">
        <v>-4.24</v>
      </c>
      <c r="L4" s="3" t="n">
        <v>-1.29</v>
      </c>
      <c r="M4" s="3" t="n">
        <v>-2.8</v>
      </c>
      <c r="N4" s="3" t="n">
        <v>30.48</v>
      </c>
      <c r="O4" s="3" t="n">
        <v>23.82</v>
      </c>
      <c r="P4" s="3" t="n">
        <v>33.7</v>
      </c>
      <c r="Q4" s="3" t="n">
        <v>5816.57</v>
      </c>
      <c r="R4" s="3" t="n">
        <v>-6.01</v>
      </c>
      <c r="S4" s="3" t="n">
        <v>-13.44</v>
      </c>
      <c r="T4" s="3" t="n">
        <v>-21.01</v>
      </c>
      <c r="U4" s="3" t="n">
        <v>-23.33</v>
      </c>
      <c r="V4" s="3" t="n">
        <v>63.44</v>
      </c>
      <c r="W4" s="3" t="n">
        <v>44.07</v>
      </c>
      <c r="X4" s="3" t="n">
        <v>0.84</v>
      </c>
      <c r="Y4" s="3" t="n">
        <v>70.63</v>
      </c>
      <c r="Z4" s="3" t="n">
        <v>1.23</v>
      </c>
      <c r="AA4" s="3" t="n">
        <v>-6.46</v>
      </c>
      <c r="AB4" s="3" t="n">
        <v>2.64</v>
      </c>
      <c r="AC4" s="3" t="n">
        <v/>
      </c>
      <c r="AD4" s="3" t="n">
        <v>4.8</v>
      </c>
      <c r="AE4" s="3" t="n">
        <v>69.23</v>
      </c>
    </row>
    <row r="5">
      <c r="A5" s="4" t="inlineStr">
        <is>
          <t>2025-09-25 11:39:42</t>
        </is>
      </c>
      <c r="B5" s="5" t="n">
        <v>71.69</v>
      </c>
      <c r="C5" s="5" t="n">
        <v>89.56</v>
      </c>
      <c r="D5" s="5" t="n">
        <v>1.25</v>
      </c>
      <c r="E5" s="5" t="n">
        <v>116.99</v>
      </c>
      <c r="F5" s="5" t="n">
        <v>125.65</v>
      </c>
      <c r="G5" s="5" t="n">
        <v>6.9</v>
      </c>
      <c r="H5" s="5" t="n">
        <v>-0.41</v>
      </c>
      <c r="I5" s="5" t="n">
        <v>1.8</v>
      </c>
      <c r="J5" s="5" t="n">
        <v>-5.26</v>
      </c>
      <c r="K5" s="5" t="n">
        <v>-7.06</v>
      </c>
      <c r="L5" s="5" t="n">
        <v>-3.67</v>
      </c>
      <c r="M5" s="5" t="n">
        <v>-0.8</v>
      </c>
      <c r="N5" s="5" t="n">
        <v>30.74</v>
      </c>
      <c r="O5" s="5" t="n">
        <v>24.62</v>
      </c>
      <c r="P5" s="5" t="n">
        <v>32.42</v>
      </c>
      <c r="Q5" s="5" t="n">
        <v>5576.83</v>
      </c>
      <c r="R5" s="5" t="n">
        <v>-10.7</v>
      </c>
      <c r="S5" s="5" t="n">
        <v>-25.5</v>
      </c>
      <c r="T5" s="5" t="n">
        <v>-47.88</v>
      </c>
      <c r="U5" s="5" t="n">
        <v>-52.62</v>
      </c>
      <c r="V5" s="5" t="n">
        <v>69.09</v>
      </c>
      <c r="W5" s="5" t="n">
        <v>45.33</v>
      </c>
      <c r="X5" s="5" t="n">
        <v>1.48</v>
      </c>
      <c r="Y5" s="5" t="n">
        <v>71.63</v>
      </c>
      <c r="Z5" s="5" t="n">
        <v>1.17</v>
      </c>
      <c r="AA5" s="5" t="n">
        <v>-11.42</v>
      </c>
      <c r="AB5" s="5" t="n">
        <v>0.75</v>
      </c>
      <c r="AC5" s="5" t="n">
        <v/>
      </c>
      <c r="AD5" s="5" t="n">
        <v>4.98</v>
      </c>
      <c r="AE5" s="5" t="n">
        <v>69.41</v>
      </c>
    </row>
    <row r="6">
      <c r="A6" s="2" t="inlineStr">
        <is>
          <t>2025-09-25 11:37:48</t>
        </is>
      </c>
      <c r="B6" s="3" t="n">
        <v>67.16</v>
      </c>
      <c r="C6" s="3" t="n">
        <v>83.89</v>
      </c>
      <c r="D6" s="3" t="n">
        <v>1.25</v>
      </c>
      <c r="E6" s="3" t="n">
        <v>105.59</v>
      </c>
      <c r="F6" s="3" t="n">
        <v>112.92</v>
      </c>
      <c r="G6" s="3" t="n">
        <v>2.66</v>
      </c>
      <c r="H6" s="3" t="n">
        <v>-13.42</v>
      </c>
      <c r="I6" s="3" t="n">
        <v>2.4</v>
      </c>
      <c r="J6" s="3" t="n">
        <v>1.27</v>
      </c>
      <c r="K6" s="3" t="n">
        <v>-1.13</v>
      </c>
      <c r="L6" s="3" t="n">
        <v>1.54</v>
      </c>
      <c r="M6" s="3" t="n">
        <v>-2</v>
      </c>
      <c r="N6" s="3" t="n">
        <v>32.97</v>
      </c>
      <c r="O6" s="3" t="n">
        <v>25.54</v>
      </c>
      <c r="P6" s="3" t="n">
        <v>35.18</v>
      </c>
      <c r="Q6" s="3" t="n">
        <v>6172.61</v>
      </c>
      <c r="R6" s="3" t="n">
        <v>-1.49</v>
      </c>
      <c r="S6" s="3" t="n">
        <v>-3.08</v>
      </c>
      <c r="T6" s="3" t="n">
        <v>5.44</v>
      </c>
      <c r="U6" s="3" t="n">
        <v>5.69</v>
      </c>
      <c r="V6" s="3" t="n">
        <v>63.44</v>
      </c>
      <c r="W6" s="3" t="n">
        <v>45.43</v>
      </c>
      <c r="X6" s="3" t="n">
        <v>1.43</v>
      </c>
      <c r="Y6" s="3" t="n">
        <v>67.72</v>
      </c>
      <c r="Z6" s="3" t="n">
        <v>1.18</v>
      </c>
      <c r="AA6" s="3" t="n">
        <v>-1.58</v>
      </c>
      <c r="AB6" s="3" t="n">
        <v>1.89</v>
      </c>
      <c r="AC6" s="3" t="n">
        <v/>
      </c>
      <c r="AD6" s="3" t="n">
        <v>4.73</v>
      </c>
      <c r="AE6" s="3" t="n">
        <v>67.38</v>
      </c>
    </row>
    <row r="7">
      <c r="A7" s="4" t="inlineStr">
        <is>
          <t>2025-09-25 11:39:20</t>
        </is>
      </c>
      <c r="B7" s="5" t="n">
        <v>69.47</v>
      </c>
      <c r="C7" s="5" t="n">
        <v>86.43000000000001</v>
      </c>
      <c r="D7" s="5" t="n">
        <v>1.24</v>
      </c>
      <c r="E7" s="5" t="n">
        <v>111.19</v>
      </c>
      <c r="F7" s="5" t="n">
        <v>118.99</v>
      </c>
      <c r="G7" s="5" t="n">
        <v>3.57</v>
      </c>
      <c r="H7" s="5" t="n">
        <v>-12.82</v>
      </c>
      <c r="I7" s="5" t="n">
        <v>1.2</v>
      </c>
      <c r="J7" s="5" t="n">
        <v>-0.17</v>
      </c>
      <c r="K7" s="5" t="n">
        <v>-1.36</v>
      </c>
      <c r="L7" s="5" t="n">
        <v>0.15</v>
      </c>
      <c r="M7" s="5" t="n">
        <v>-1.4</v>
      </c>
      <c r="N7" s="5" t="n">
        <v>32.66</v>
      </c>
      <c r="O7" s="5" t="n">
        <v>26.02</v>
      </c>
      <c r="P7" s="5" t="n">
        <v>34.26</v>
      </c>
      <c r="Q7" s="5" t="n">
        <v>5689</v>
      </c>
      <c r="R7" s="5" t="n">
        <v>-1.95</v>
      </c>
      <c r="S7" s="5" t="n">
        <v>-4.34</v>
      </c>
      <c r="T7" s="5" t="n">
        <v>-3.46</v>
      </c>
      <c r="U7" s="5" t="n">
        <v>-3.88</v>
      </c>
      <c r="V7" s="5" t="n">
        <v>69.01000000000001</v>
      </c>
      <c r="W7" s="5" t="n">
        <v>46.41</v>
      </c>
      <c r="X7" s="5" t="n">
        <v>0.62</v>
      </c>
      <c r="Y7" s="5" t="n">
        <v>70.23</v>
      </c>
      <c r="Z7" s="5" t="n">
        <v>1.18</v>
      </c>
      <c r="AA7" s="5" t="n">
        <v>-2.06</v>
      </c>
      <c r="AB7" s="5" t="n">
        <v>1.3</v>
      </c>
      <c r="AC7" s="5" t="n">
        <v/>
      </c>
      <c r="AD7" s="5" t="n">
        <v>4.93</v>
      </c>
      <c r="AE7" s="5" t="n">
        <v>66.36</v>
      </c>
    </row>
    <row r="8">
      <c r="A8" s="2" t="inlineStr">
        <is>
          <t>2025-09-25 11:38:02</t>
        </is>
      </c>
      <c r="B8" s="3" t="n">
        <v>69.06</v>
      </c>
      <c r="C8" s="3" t="n">
        <v>83.18000000000001</v>
      </c>
      <c r="D8" s="3" t="n">
        <v>1.2</v>
      </c>
      <c r="E8" s="3" t="n">
        <v>104.78</v>
      </c>
      <c r="F8" s="3" t="n">
        <v>114.94</v>
      </c>
      <c r="G8" s="3" t="n">
        <v>-4.02</v>
      </c>
      <c r="H8" s="3" t="n">
        <v>-18.11</v>
      </c>
      <c r="I8" s="3" t="n">
        <v>1.4</v>
      </c>
      <c r="J8" s="3" t="n">
        <v>-4.79</v>
      </c>
      <c r="K8" s="3" t="n">
        <v>-6.19</v>
      </c>
      <c r="L8" s="3" t="n">
        <v>-3.32</v>
      </c>
      <c r="M8" s="3" t="n">
        <v>-2</v>
      </c>
      <c r="N8" s="3" t="n">
        <v>30.05</v>
      </c>
      <c r="O8" s="3" t="n">
        <v>23.37</v>
      </c>
      <c r="P8" s="3" t="n">
        <v>32.69</v>
      </c>
      <c r="Q8" s="3" t="n">
        <v>5608.3</v>
      </c>
      <c r="R8" s="3" t="n">
        <v>-9.19</v>
      </c>
      <c r="S8" s="3" t="n">
        <v>-17.5</v>
      </c>
      <c r="T8" s="3" t="n">
        <v>-35.64</v>
      </c>
      <c r="U8" s="3" t="n">
        <v>-40.3</v>
      </c>
      <c r="V8" s="3" t="n">
        <v>54.69</v>
      </c>
      <c r="W8" s="3" t="n">
        <v>41.48</v>
      </c>
      <c r="X8" s="3" t="n">
        <v>0.43</v>
      </c>
      <c r="Y8" s="3" t="n">
        <v>66.5</v>
      </c>
      <c r="Z8" s="3" t="n">
        <v>1.19</v>
      </c>
      <c r="AA8" s="3" t="n">
        <v>-9.92</v>
      </c>
      <c r="AB8" s="3" t="n">
        <v>1.85</v>
      </c>
      <c r="AC8" s="3" t="n">
        <v/>
      </c>
      <c r="AD8" s="3" t="n">
        <v>4.46</v>
      </c>
      <c r="AE8" s="3" t="n">
        <v>68.42</v>
      </c>
    </row>
    <row r="9">
      <c r="A9" s="4" t="inlineStr">
        <is>
          <t>2025-09-25 11:40:29</t>
        </is>
      </c>
      <c r="B9" s="5" t="n">
        <v>71.19</v>
      </c>
      <c r="C9" s="5" t="n">
        <v>87.56999999999999</v>
      </c>
      <c r="D9" s="5" t="n">
        <v>1.23</v>
      </c>
      <c r="E9" s="5" t="n">
        <v>111.75</v>
      </c>
      <c r="F9" s="5" t="n">
        <v>117.86</v>
      </c>
      <c r="G9" s="5" t="n">
        <v>2.75</v>
      </c>
      <c r="H9" s="5" t="n">
        <v>-14.47</v>
      </c>
      <c r="I9" s="5" t="n">
        <v>1.6</v>
      </c>
      <c r="J9" s="5" t="n">
        <v>4.16</v>
      </c>
      <c r="K9" s="5" t="n">
        <v>2.56</v>
      </c>
      <c r="L9" s="5" t="n">
        <v>3.55</v>
      </c>
      <c r="M9" s="5" t="n">
        <v>-1</v>
      </c>
      <c r="N9" s="5" t="n">
        <v>34.32</v>
      </c>
      <c r="O9" s="5" t="n">
        <v>27.27</v>
      </c>
      <c r="P9" s="5" t="n">
        <v>35.44</v>
      </c>
      <c r="Q9" s="5" t="n">
        <v>6138.98</v>
      </c>
      <c r="R9" s="5" t="n">
        <v>3.47</v>
      </c>
      <c r="S9" s="5" t="n">
        <v>8.17</v>
      </c>
      <c r="T9" s="5" t="n">
        <v>28.91</v>
      </c>
      <c r="U9" s="5" t="n">
        <v>30.73</v>
      </c>
      <c r="V9" s="5" t="n">
        <v>75.43000000000001</v>
      </c>
      <c r="W9" s="5" t="n">
        <v>48.75</v>
      </c>
      <c r="X9" s="5" t="n">
        <v>1.16</v>
      </c>
      <c r="Y9" s="5" t="n">
        <v>67.93000000000001</v>
      </c>
      <c r="Z9" s="5" t="n">
        <v>1.12</v>
      </c>
      <c r="AA9" s="5" t="n">
        <v>3.63</v>
      </c>
      <c r="AB9" s="5" t="n">
        <v>0.79</v>
      </c>
      <c r="AC9" s="5" t="n">
        <v/>
      </c>
      <c r="AD9" s="5" t="n">
        <v>5.1</v>
      </c>
      <c r="AE9" s="5" t="n">
        <v>65.78</v>
      </c>
    </row>
    <row r="10">
      <c r="A10" s="2" t="inlineStr">
        <is>
          <t>2025-09-25 11:38:17</t>
        </is>
      </c>
      <c r="B10" s="3" t="n">
        <v>68.66</v>
      </c>
      <c r="C10" s="3" t="n">
        <v>81.88</v>
      </c>
      <c r="D10" s="3" t="n">
        <v>1.19</v>
      </c>
      <c r="E10" s="3" t="n">
        <v>104.69</v>
      </c>
      <c r="F10" s="3" t="n">
        <v>116.13</v>
      </c>
      <c r="G10" s="3" t="n">
        <v>3.93</v>
      </c>
      <c r="H10" s="3" t="n">
        <v>3.17</v>
      </c>
      <c r="I10" s="3" t="n">
        <v>3.6</v>
      </c>
      <c r="J10" s="3" t="n">
        <v>-0.59</v>
      </c>
      <c r="K10" s="3" t="n">
        <v>-4.19</v>
      </c>
      <c r="L10" s="3" t="n">
        <v>0.3</v>
      </c>
      <c r="M10" s="3" t="n">
        <v>-0.6</v>
      </c>
      <c r="N10" s="3" t="n">
        <v>30.68</v>
      </c>
      <c r="O10" s="3" t="n">
        <v>24.9</v>
      </c>
      <c r="P10" s="3" t="n">
        <v>31.71</v>
      </c>
      <c r="Q10" s="3" t="n">
        <v>4735.71</v>
      </c>
      <c r="R10" s="3" t="n">
        <v>-6.4</v>
      </c>
      <c r="S10" s="3" t="n">
        <v>-11.49</v>
      </c>
      <c r="T10" s="3" t="n">
        <v>-9.85</v>
      </c>
      <c r="U10" s="3" t="n">
        <v>-11.79</v>
      </c>
      <c r="V10" s="3" t="n">
        <v>56.58</v>
      </c>
      <c r="W10" s="3" t="n">
        <v>41.97</v>
      </c>
      <c r="X10" s="3" t="n">
        <v>3.32</v>
      </c>
      <c r="Y10" s="3" t="n">
        <v>73.81999999999999</v>
      </c>
      <c r="Z10" s="3" t="n">
        <v>1.19</v>
      </c>
      <c r="AA10" s="3" t="n">
        <v>-6.82</v>
      </c>
      <c r="AB10" s="3" t="n">
        <v>0.59</v>
      </c>
      <c r="AC10" s="3" t="n">
        <v/>
      </c>
      <c r="AD10" s="3" t="n">
        <v>4.49</v>
      </c>
      <c r="AE10" s="3" t="n">
        <v>66.75</v>
      </c>
    </row>
    <row r="11">
      <c r="A11" s="4" t="inlineStr">
        <is>
          <t>2025-09-25 11:40:43</t>
        </is>
      </c>
      <c r="B11" s="5" t="n">
        <v>70.98999999999999</v>
      </c>
      <c r="C11" s="5" t="n">
        <v>84.16</v>
      </c>
      <c r="D11" s="5" t="n">
        <v>1.19</v>
      </c>
      <c r="E11" s="5" t="n">
        <v>110.44</v>
      </c>
      <c r="F11" s="5" t="n">
        <v>125.35</v>
      </c>
      <c r="G11" s="5" t="n">
        <v>8.789999999999999</v>
      </c>
      <c r="H11" s="5" t="n">
        <v>-6.22</v>
      </c>
      <c r="I11" s="5" t="n">
        <v>5</v>
      </c>
      <c r="J11" s="5" t="n">
        <v>-3.77</v>
      </c>
      <c r="K11" s="5" t="n">
        <v>-8.77</v>
      </c>
      <c r="L11" s="5" t="n">
        <v>-2.25</v>
      </c>
      <c r="M11" s="5" t="n">
        <v>-0.6</v>
      </c>
      <c r="N11" s="5" t="n">
        <v>28.25</v>
      </c>
      <c r="O11" s="5" t="n">
        <v>23.86</v>
      </c>
      <c r="P11" s="5" t="n">
        <v>30.22</v>
      </c>
      <c r="Q11" s="5" t="n">
        <v>3838.02</v>
      </c>
      <c r="R11" s="5" t="n">
        <v>-14.38</v>
      </c>
      <c r="S11" s="5" t="n">
        <v>-25.5</v>
      </c>
      <c r="T11" s="5" t="n">
        <v>-38.45</v>
      </c>
      <c r="U11" s="5" t="n">
        <v>-46.21</v>
      </c>
      <c r="V11" s="5" t="n">
        <v>54.93</v>
      </c>
      <c r="W11" s="5" t="n">
        <v>39.43</v>
      </c>
      <c r="X11" s="5" t="n">
        <v>4.79</v>
      </c>
      <c r="Y11" s="5" t="n">
        <v>78.25</v>
      </c>
      <c r="Z11" s="5" t="n">
        <v>1.18</v>
      </c>
      <c r="AA11" s="5" t="n">
        <v>-15.43</v>
      </c>
      <c r="AB11" s="5" t="n">
        <v>0.55</v>
      </c>
      <c r="AC11" s="5" t="n">
        <v/>
      </c>
      <c r="AD11" s="5" t="n">
        <v>4.43</v>
      </c>
      <c r="AE11" s="5" t="n">
        <v>68.22</v>
      </c>
    </row>
    <row r="12">
      <c r="A12" s="2" t="inlineStr">
        <is>
          <t>2025-09-25 11:38:42</t>
        </is>
      </c>
      <c r="B12" s="3" t="n">
        <v>69.08</v>
      </c>
      <c r="C12" s="3" t="n">
        <v>86.26000000000001</v>
      </c>
      <c r="D12" s="3" t="n">
        <v>1.25</v>
      </c>
      <c r="E12" s="3" t="n">
        <v>110.4</v>
      </c>
      <c r="F12" s="3" t="n">
        <v>118.59</v>
      </c>
      <c r="G12" s="3" t="n">
        <v>2.93</v>
      </c>
      <c r="H12" s="3" t="n">
        <v>-8.640000000000001</v>
      </c>
      <c r="I12" s="3" t="n">
        <v>1.2</v>
      </c>
      <c r="J12" s="3" t="n">
        <v>-0.4</v>
      </c>
      <c r="K12" s="3" t="n">
        <v>-1.6</v>
      </c>
      <c r="L12" s="3" t="n">
        <v>-0.01</v>
      </c>
      <c r="M12" s="3" t="n">
        <v>-2.8</v>
      </c>
      <c r="N12" s="3" t="n">
        <v>31.42</v>
      </c>
      <c r="O12" s="3" t="n">
        <v>24.51</v>
      </c>
      <c r="P12" s="3" t="n">
        <v>34.44</v>
      </c>
      <c r="Q12" s="3" t="n">
        <v>5907.73</v>
      </c>
      <c r="R12" s="3" t="n">
        <v>-2.33</v>
      </c>
      <c r="S12" s="3" t="n">
        <v>-5.1</v>
      </c>
      <c r="T12" s="3" t="n">
        <v>-5.19</v>
      </c>
      <c r="U12" s="3" t="n">
        <v>-5.82</v>
      </c>
      <c r="V12" s="3" t="n">
        <v>64.06</v>
      </c>
      <c r="W12" s="3" t="n">
        <v>44.74</v>
      </c>
      <c r="X12" s="3" t="n">
        <v>0.29</v>
      </c>
      <c r="Y12" s="3" t="n">
        <v>72.70999999999999</v>
      </c>
      <c r="Z12" s="3" t="n">
        <v>1.18</v>
      </c>
      <c r="AA12" s="3" t="n">
        <v>-2.5</v>
      </c>
      <c r="AB12" s="3" t="n">
        <v>2.52</v>
      </c>
      <c r="AC12" s="3" t="n">
        <v/>
      </c>
      <c r="AD12" s="3" t="n">
        <v>4.8</v>
      </c>
      <c r="AE12" s="3" t="n">
        <v>67.56999999999999</v>
      </c>
    </row>
    <row r="14">
      <c r="A14" s="6" t="inlineStr">
        <is>
          <t>Pos Av</t>
        </is>
      </c>
      <c r="B14" s="7">
        <f>IF(COUNTIF(B2:B12,"&gt;0"),AVERAGEIF(B2:B12,"&gt;0"),"—")</f>
        <v/>
      </c>
      <c r="C14" s="7">
        <f>IF(COUNTIF(C2:C12,"&gt;0"),AVERAGEIF(C2:C12,"&gt;0"),"—")</f>
        <v/>
      </c>
      <c r="D14" s="7">
        <f>IF(COUNTIF(D2:D12,"&gt;0"),AVERAGEIF(D2:D12,"&gt;0"),"—")</f>
        <v/>
      </c>
      <c r="E14" s="7">
        <f>IF(COUNTIF(E2:E12,"&gt;0"),AVERAGEIF(E2:E12,"&gt;0"),"—")</f>
        <v/>
      </c>
      <c r="F14" s="7">
        <f>IF(COUNTIF(F2:F12,"&gt;0"),AVERAGEIF(F2:F12,"&gt;0"),"—")</f>
        <v/>
      </c>
      <c r="G14" s="7">
        <f>IF(COUNTIF(G2:G12,"&gt;0"),AVERAGEIF(G2:G12,"&gt;0"),"—")</f>
        <v/>
      </c>
      <c r="H14" s="7">
        <f>IF(COUNTIF(H2:H12,"&gt;0"),AVERAGEIF(H2:H12,"&gt;0"),"—")</f>
        <v/>
      </c>
      <c r="I14" s="7">
        <f>IF(COUNTIF(I2:I12,"&gt;0"),AVERAGEIF(I2:I12,"&gt;0"),"—")</f>
        <v/>
      </c>
      <c r="J14" s="7">
        <f>IF(COUNTIF(J2:J12,"&gt;0"),AVERAGEIF(J2:J12,"&gt;0"),"—")</f>
        <v/>
      </c>
      <c r="K14" s="7">
        <f>IF(COUNTIF(K2:K12,"&gt;0"),AVERAGEIF(K2:K12,"&gt;0"),"—")</f>
        <v/>
      </c>
      <c r="L14" s="7">
        <f>IF(COUNTIF(L2:L12,"&gt;0"),AVERAGEIF(L2:L12,"&gt;0"),"—")</f>
        <v/>
      </c>
      <c r="M14" s="7">
        <f>IF(COUNTIF(M2:M12,"&gt;0"),AVERAGEIF(M2:M12,"&gt;0"),"—")</f>
        <v/>
      </c>
      <c r="N14" s="7">
        <f>IF(COUNTIF(N2:N12,"&gt;0"),AVERAGEIF(N2:N12,"&gt;0"),"—")</f>
        <v/>
      </c>
      <c r="O14" s="7">
        <f>IF(COUNTIF(O2:O12,"&gt;0"),AVERAGEIF(O2:O12,"&gt;0"),"—")</f>
        <v/>
      </c>
      <c r="P14" s="7">
        <f>IF(COUNTIF(P2:P12,"&gt;0"),AVERAGEIF(P2:P12,"&gt;0"),"—")</f>
        <v/>
      </c>
      <c r="Q14" s="7">
        <f>IF(COUNTIF(Q2:Q12,"&gt;0"),AVERAGEIF(Q2:Q12,"&gt;0"),"—")</f>
        <v/>
      </c>
      <c r="R14" s="7">
        <f>IF(COUNTIF(R2:R12,"&gt;0"),AVERAGEIF(R2:R12,"&gt;0"),"—")</f>
        <v/>
      </c>
      <c r="S14" s="7">
        <f>IF(COUNTIF(S2:S12,"&gt;0"),AVERAGEIF(S2:S12,"&gt;0"),"—")</f>
        <v/>
      </c>
      <c r="T14" s="7">
        <f>IF(COUNTIF(T2:T12,"&gt;0"),AVERAGEIF(T2:T12,"&gt;0"),"—")</f>
        <v/>
      </c>
      <c r="U14" s="7">
        <f>IF(COUNTIF(U2:U12,"&gt;0"),AVERAGEIF(U2:U12,"&gt;0"),"—")</f>
        <v/>
      </c>
      <c r="V14" s="7">
        <f>IF(COUNTIF(V2:V12,"&gt;0"),AVERAGEIF(V2:V12,"&gt;0"),"—")</f>
        <v/>
      </c>
      <c r="W14" s="7">
        <f>IF(COUNTIF(W2:W12,"&gt;0"),AVERAGEIF(W2:W12,"&gt;0"),"—")</f>
        <v/>
      </c>
      <c r="X14" s="7">
        <f>IF(COUNTIF(X2:X12,"&gt;0"),AVERAGEIF(X2:X12,"&gt;0"),"—")</f>
        <v/>
      </c>
      <c r="Y14" s="7">
        <f>IF(COUNTIF(Y2:Y12,"&gt;0"),AVERAGEIF(Y2:Y12,"&gt;0"),"—")</f>
        <v/>
      </c>
      <c r="Z14" s="7">
        <f>IF(COUNTIF(Z2:Z12,"&gt;0"),AVERAGEIF(Z2:Z12,"&gt;0"),"—")</f>
        <v/>
      </c>
      <c r="AA14" s="7">
        <f>IF(COUNTIF(AA2:AA12,"&gt;0"),AVERAGEIF(AA2:AA12,"&gt;0"),"—")</f>
        <v/>
      </c>
      <c r="AB14" s="7">
        <f>IF(COUNTIF(AB2:AB12,"&gt;0"),AVERAGEIF(AB2:AB12,"&gt;0"),"—")</f>
        <v/>
      </c>
      <c r="AC14" s="7">
        <f>IF(COUNTIF(AC2:AC12,"&gt;0"),AVERAGEIF(AC2:AC12,"&gt;0"),"—")</f>
        <v/>
      </c>
      <c r="AD14" s="7">
        <f>IF(COUNTIF(AD2:AD12,"&gt;0"),AVERAGEIF(AD2:AD12,"&gt;0"),"—")</f>
        <v/>
      </c>
      <c r="AE14" s="7">
        <f>IF(COUNTIF(AE2:AE12,"&gt;0"),AVERAGEIF(AE2:AE12,"&gt;0"),"—")</f>
        <v/>
      </c>
    </row>
    <row r="15">
      <c r="A15" s="6" t="inlineStr">
        <is>
          <t>Neg Av</t>
        </is>
      </c>
      <c r="B15" s="7">
        <f>IF(COUNTIF(B2:B12,"&lt;0"),AVERAGEIF(B2:B12,"&lt;0"),"—")</f>
        <v/>
      </c>
      <c r="C15" s="7">
        <f>IF(COUNTIF(C2:C12,"&lt;0"),AVERAGEIF(C2:C12,"&lt;0"),"—")</f>
        <v/>
      </c>
      <c r="D15" s="7">
        <f>IF(COUNTIF(D2:D12,"&lt;0"),AVERAGEIF(D2:D12,"&lt;0"),"—")</f>
        <v/>
      </c>
      <c r="E15" s="7">
        <f>IF(COUNTIF(E2:E12,"&lt;0"),AVERAGEIF(E2:E12,"&lt;0"),"—")</f>
        <v/>
      </c>
      <c r="F15" s="7">
        <f>IF(COUNTIF(F2:F12,"&lt;0"),AVERAGEIF(F2:F12,"&lt;0"),"—")</f>
        <v/>
      </c>
      <c r="G15" s="7">
        <f>IF(COUNTIF(G2:G12,"&lt;0"),AVERAGEIF(G2:G12,"&lt;0"),"—")</f>
        <v/>
      </c>
      <c r="H15" s="7">
        <f>IF(COUNTIF(H2:H12,"&lt;0"),AVERAGEIF(H2:H12,"&lt;0"),"—")</f>
        <v/>
      </c>
      <c r="I15" s="7">
        <f>IF(COUNTIF(I2:I12,"&lt;0"),AVERAGEIF(I2:I12,"&lt;0"),"—")</f>
        <v/>
      </c>
      <c r="J15" s="7">
        <f>IF(COUNTIF(J2:J12,"&lt;0"),AVERAGEIF(J2:J12,"&lt;0"),"—")</f>
        <v/>
      </c>
      <c r="K15" s="7">
        <f>IF(COUNTIF(K2:K12,"&lt;0"),AVERAGEIF(K2:K12,"&lt;0"),"—")</f>
        <v/>
      </c>
      <c r="L15" s="7">
        <f>IF(COUNTIF(L2:L12,"&lt;0"),AVERAGEIF(L2:L12,"&lt;0"),"—")</f>
        <v/>
      </c>
      <c r="M15" s="7">
        <f>IF(COUNTIF(M2:M12,"&lt;0"),AVERAGEIF(M2:M12,"&lt;0"),"—")</f>
        <v/>
      </c>
      <c r="N15" s="7">
        <f>IF(COUNTIF(N2:N12,"&lt;0"),AVERAGEIF(N2:N12,"&lt;0"),"—")</f>
        <v/>
      </c>
      <c r="O15" s="7">
        <f>IF(COUNTIF(O2:O12,"&lt;0"),AVERAGEIF(O2:O12,"&lt;0"),"—")</f>
        <v/>
      </c>
      <c r="P15" s="7">
        <f>IF(COUNTIF(P2:P12,"&lt;0"),AVERAGEIF(P2:P12,"&lt;0"),"—")</f>
        <v/>
      </c>
      <c r="Q15" s="7">
        <f>IF(COUNTIF(Q2:Q12,"&lt;0"),AVERAGEIF(Q2:Q12,"&lt;0"),"—")</f>
        <v/>
      </c>
      <c r="R15" s="7">
        <f>IF(COUNTIF(R2:R12,"&lt;0"),AVERAGEIF(R2:R12,"&lt;0"),"—")</f>
        <v/>
      </c>
      <c r="S15" s="7">
        <f>IF(COUNTIF(S2:S12,"&lt;0"),AVERAGEIF(S2:S12,"&lt;0"),"—")</f>
        <v/>
      </c>
      <c r="T15" s="7">
        <f>IF(COUNTIF(T2:T12,"&lt;0"),AVERAGEIF(T2:T12,"&lt;0"),"—")</f>
        <v/>
      </c>
      <c r="U15" s="7">
        <f>IF(COUNTIF(U2:U12,"&lt;0"),AVERAGEIF(U2:U12,"&lt;0"),"—")</f>
        <v/>
      </c>
      <c r="V15" s="7">
        <f>IF(COUNTIF(V2:V12,"&lt;0"),AVERAGEIF(V2:V12,"&lt;0"),"—")</f>
        <v/>
      </c>
      <c r="W15" s="7">
        <f>IF(COUNTIF(W2:W12,"&lt;0"),AVERAGEIF(W2:W12,"&lt;0"),"—")</f>
        <v/>
      </c>
      <c r="X15" s="7">
        <f>IF(COUNTIF(X2:X12,"&lt;0"),AVERAGEIF(X2:X12,"&lt;0"),"—")</f>
        <v/>
      </c>
      <c r="Y15" s="7">
        <f>IF(COUNTIF(Y2:Y12,"&lt;0"),AVERAGEIF(Y2:Y12,"&lt;0"),"—")</f>
        <v/>
      </c>
      <c r="Z15" s="7">
        <f>IF(COUNTIF(Z2:Z12,"&lt;0"),AVERAGEIF(Z2:Z12,"&lt;0"),"—")</f>
        <v/>
      </c>
      <c r="AA15" s="7">
        <f>IF(COUNTIF(AA2:AA12,"&lt;0"),AVERAGEIF(AA2:AA12,"&lt;0"),"—")</f>
        <v/>
      </c>
      <c r="AB15" s="7">
        <f>IF(COUNTIF(AB2:AB12,"&lt;0"),AVERAGEIF(AB2:AB12,"&lt;0"),"—")</f>
        <v/>
      </c>
      <c r="AC15" s="7">
        <f>IF(COUNTIF(AC2:AC12,"&lt;0"),AVERAGEIF(AC2:AC12,"&lt;0"),"—")</f>
        <v/>
      </c>
      <c r="AD15" s="7">
        <f>IF(COUNTIF(AD2:AD12,"&lt;0"),AVERAGEIF(AD2:AD12,"&lt;0"),"—")</f>
        <v/>
      </c>
      <c r="AE15" s="7">
        <f>IF(COUNTIF(AE2:AE12,"&lt;0"),AVERAGEIF(AE2:AE12,"&lt;0"),"—")</f>
        <v/>
      </c>
    </row>
    <row r="16">
      <c r="A16" s="6" t="inlineStr">
        <is>
          <t>1 Av</t>
        </is>
      </c>
      <c r="B16" s="7">
        <f>IF(COUNTA(B2:B12),AVERAGE(B2:B12),"—")</f>
        <v/>
      </c>
      <c r="C16" s="7">
        <f>IF(COUNTA(C2:C12),AVERAGE(C2:C12),"—")</f>
        <v/>
      </c>
      <c r="D16" s="7">
        <f>IF(COUNTA(D2:D12),AVERAGE(D2:D12),"—")</f>
        <v/>
      </c>
      <c r="E16" s="7">
        <f>IF(COUNTA(E2:E12),AVERAGE(E2:E12),"—")</f>
        <v/>
      </c>
      <c r="F16" s="7">
        <f>IF(COUNTA(F2:F12),AVERAGE(F2:F12),"—")</f>
        <v/>
      </c>
      <c r="G16" s="7">
        <f>IF(COUNTA(G2:G12),AVERAGE(G2:G12),"—")</f>
        <v/>
      </c>
      <c r="H16" s="7">
        <f>IF(COUNTA(H2:H12),AVERAGE(H2:H12),"—")</f>
        <v/>
      </c>
      <c r="I16" s="7">
        <f>IF(COUNTA(I2:I12),AVERAGE(I2:I12),"—")</f>
        <v/>
      </c>
      <c r="J16" s="7">
        <f>IF(COUNTA(J2:J12),AVERAGE(J2:J12),"—")</f>
        <v/>
      </c>
      <c r="K16" s="7">
        <f>IF(COUNTA(K2:K12),AVERAGE(K2:K12),"—")</f>
        <v/>
      </c>
      <c r="L16" s="7">
        <f>IF(COUNTA(L2:L12),AVERAGE(L2:L12),"—")</f>
        <v/>
      </c>
      <c r="M16" s="7">
        <f>IF(COUNTA(M2:M12),AVERAGE(M2:M12),"—")</f>
        <v/>
      </c>
      <c r="N16" s="7">
        <f>IF(COUNTA(N2:N12),AVERAGE(N2:N12),"—")</f>
        <v/>
      </c>
      <c r="O16" s="7">
        <f>IF(COUNTA(O2:O12),AVERAGE(O2:O12),"—")</f>
        <v/>
      </c>
      <c r="P16" s="7">
        <f>IF(COUNTA(P2:P12),AVERAGE(P2:P12),"—")</f>
        <v/>
      </c>
      <c r="Q16" s="7">
        <f>IF(COUNTA(Q2:Q12),AVERAGE(Q2:Q12),"—")</f>
        <v/>
      </c>
      <c r="R16" s="7">
        <f>IF(COUNTA(R2:R12),AVERAGE(R2:R12),"—")</f>
        <v/>
      </c>
      <c r="S16" s="7">
        <f>IF(COUNTA(S2:S12),AVERAGE(S2:S12),"—")</f>
        <v/>
      </c>
      <c r="T16" s="7">
        <f>IF(COUNTA(T2:T12),AVERAGE(T2:T12),"—")</f>
        <v/>
      </c>
      <c r="U16" s="7">
        <f>IF(COUNTA(U2:U12),AVERAGE(U2:U12),"—")</f>
        <v/>
      </c>
      <c r="V16" s="7">
        <f>IF(COUNTA(V2:V12),AVERAGE(V2:V12),"—")</f>
        <v/>
      </c>
      <c r="W16" s="7">
        <f>IF(COUNTA(W2:W12),AVERAGE(W2:W12),"—")</f>
        <v/>
      </c>
      <c r="X16" s="7">
        <f>IF(COUNTA(X2:X12),AVERAGE(X2:X12),"—")</f>
        <v/>
      </c>
      <c r="Y16" s="7">
        <f>IF(COUNTA(Y2:Y12),AVERAGE(Y2:Y12),"—")</f>
        <v/>
      </c>
      <c r="Z16" s="7">
        <f>IF(COUNTA(Z2:Z12),AVERAGE(Z2:Z12),"—")</f>
        <v/>
      </c>
      <c r="AA16" s="7">
        <f>IF(COUNTA(AA2:AA12),AVERAGE(AA2:AA12),"—")</f>
        <v/>
      </c>
      <c r="AB16" s="7">
        <f>IF(COUNTA(AB2:AB12),AVERAGE(AB2:AB12),"—")</f>
        <v/>
      </c>
      <c r="AC16" s="7">
        <f>IF(COUNTA(AC2:AC12),AVERAGE(AC2:AC12),"—")</f>
        <v/>
      </c>
      <c r="AD16" s="7">
        <f>IF(COUNTA(AD2:AD12),AVERAGE(AD2:AD12),"—")</f>
        <v/>
      </c>
      <c r="AE16" s="7">
        <f>IF(COUNTA(AE2:AE12),AVERAGE(AE2:AE12),"—")</f>
        <v/>
      </c>
    </row>
    <row r="17">
      <c r="A17" s="6" t="inlineStr">
        <is>
          <t>Spread</t>
        </is>
      </c>
      <c r="B17" s="7">
        <f>IF(AND(ISNUMBER(B14),ISNUMBER(B15)),B14-B15,"—")</f>
        <v/>
      </c>
      <c r="C17" s="7">
        <f>IF(AND(ISNUMBER(C14),ISNUMBER(C15)),C14-C15,"—")</f>
        <v/>
      </c>
      <c r="D17" s="7">
        <f>IF(AND(ISNUMBER(D14),ISNUMBER(D15)),D14-D15,"—")</f>
        <v/>
      </c>
      <c r="E17" s="7">
        <f>IF(AND(ISNUMBER(E14),ISNUMBER(E15)),E14-E15,"—")</f>
        <v/>
      </c>
      <c r="F17" s="7">
        <f>IF(AND(ISNUMBER(F14),ISNUMBER(F15)),F14-F15,"—")</f>
        <v/>
      </c>
      <c r="G17" s="7">
        <f>IF(AND(ISNUMBER(G14),ISNUMBER(G15)),G14-G15,"—")</f>
        <v/>
      </c>
      <c r="H17" s="7">
        <f>IF(AND(ISNUMBER(H14),ISNUMBER(H15)),H14-H15,"—")</f>
        <v/>
      </c>
      <c r="I17" s="7">
        <f>IF(AND(ISNUMBER(I14),ISNUMBER(I15)),I14-I15,"—")</f>
        <v/>
      </c>
      <c r="J17" s="7">
        <f>IF(AND(ISNUMBER(J14),ISNUMBER(J15)),J14-J15,"—")</f>
        <v/>
      </c>
      <c r="K17" s="7">
        <f>IF(AND(ISNUMBER(K14),ISNUMBER(K15)),K14-K15,"—")</f>
        <v/>
      </c>
      <c r="L17" s="7">
        <f>IF(AND(ISNUMBER(L14),ISNUMBER(L15)),L14-L15,"—")</f>
        <v/>
      </c>
      <c r="M17" s="7">
        <f>IF(AND(ISNUMBER(M14),ISNUMBER(M15)),M14-M15,"—")</f>
        <v/>
      </c>
      <c r="N17" s="7">
        <f>IF(AND(ISNUMBER(N14),ISNUMBER(N15)),N14-N15,"—")</f>
        <v/>
      </c>
      <c r="O17" s="7">
        <f>IF(AND(ISNUMBER(O14),ISNUMBER(O15)),O14-O15,"—")</f>
        <v/>
      </c>
      <c r="P17" s="7">
        <f>IF(AND(ISNUMBER(P14),ISNUMBER(P15)),P14-P15,"—")</f>
        <v/>
      </c>
      <c r="Q17" s="7">
        <f>IF(AND(ISNUMBER(Q14),ISNUMBER(Q15)),Q14-Q15,"—")</f>
        <v/>
      </c>
      <c r="R17" s="7">
        <f>IF(AND(ISNUMBER(R14),ISNUMBER(R15)),R14-R15,"—")</f>
        <v/>
      </c>
      <c r="S17" s="7">
        <f>IF(AND(ISNUMBER(S14),ISNUMBER(S15)),S14-S15,"—")</f>
        <v/>
      </c>
      <c r="T17" s="7">
        <f>IF(AND(ISNUMBER(T14),ISNUMBER(T15)),T14-T15,"—")</f>
        <v/>
      </c>
      <c r="U17" s="7">
        <f>IF(AND(ISNUMBER(U14),ISNUMBER(U15)),U14-U15,"—")</f>
        <v/>
      </c>
      <c r="V17" s="7">
        <f>IF(AND(ISNUMBER(V14),ISNUMBER(V15)),V14-V15,"—")</f>
        <v/>
      </c>
      <c r="W17" s="7">
        <f>IF(AND(ISNUMBER(W14),ISNUMBER(W15)),W14-W15,"—")</f>
        <v/>
      </c>
      <c r="X17" s="7">
        <f>IF(AND(ISNUMBER(X14),ISNUMBER(X15)),X14-X15,"—")</f>
        <v/>
      </c>
      <c r="Y17" s="7">
        <f>IF(AND(ISNUMBER(Y14),ISNUMBER(Y15)),Y14-Y15,"—")</f>
        <v/>
      </c>
      <c r="Z17" s="7">
        <f>IF(AND(ISNUMBER(Z14),ISNUMBER(Z15)),Z14-Z15,"—")</f>
        <v/>
      </c>
      <c r="AA17" s="7">
        <f>IF(AND(ISNUMBER(AA14),ISNUMBER(AA15)),AA14-AA15,"—")</f>
        <v/>
      </c>
      <c r="AB17" s="7">
        <f>IF(AND(ISNUMBER(AB14),ISNUMBER(AB15)),AB14-AB15,"—")</f>
        <v/>
      </c>
      <c r="AC17" s="7">
        <f>IF(AND(ISNUMBER(AC14),ISNUMBER(AC15)),AC14-AC15,"—")</f>
        <v/>
      </c>
      <c r="AD17" s="7">
        <f>IF(AND(ISNUMBER(AD14),ISNUMBER(AD15)),AD14-AD15,"—")</f>
        <v/>
      </c>
      <c r="AE17" s="7">
        <f>IF(AND(ISNUMBER(AE14),ISNUMBER(AE15)),AE14-AE15,"—")</f>
        <v/>
      </c>
    </row>
    <row r="18">
      <c r="A18" s="6" t="inlineStr">
        <is>
          <t>% Pos</t>
        </is>
      </c>
      <c r="B18" s="8">
        <f>IF(COUNTA(B2:B12),COUNTIF(B2:B12,"&gt;0")/COUNTA(B2:B12),"—")</f>
        <v/>
      </c>
      <c r="C18" s="8">
        <f>IF(COUNTA(C2:C12),COUNTIF(C2:C12,"&gt;0")/COUNTA(C2:C12),"—")</f>
        <v/>
      </c>
      <c r="D18" s="8">
        <f>IF(COUNTA(D2:D12),COUNTIF(D2:D12,"&gt;0")/COUNTA(D2:D12),"—")</f>
        <v/>
      </c>
      <c r="E18" s="8">
        <f>IF(COUNTA(E2:E12),COUNTIF(E2:E12,"&gt;0")/COUNTA(E2:E12),"—")</f>
        <v/>
      </c>
      <c r="F18" s="8">
        <f>IF(COUNTA(F2:F12),COUNTIF(F2:F12,"&gt;0")/COUNTA(F2:F12),"—")</f>
        <v/>
      </c>
      <c r="G18" s="8">
        <f>IF(COUNTA(G2:G12),COUNTIF(G2:G12,"&gt;0")/COUNTA(G2:G12),"—")</f>
        <v/>
      </c>
      <c r="H18" s="8">
        <f>IF(COUNTA(H2:H12),COUNTIF(H2:H12,"&gt;0")/COUNTA(H2:H12),"—")</f>
        <v/>
      </c>
      <c r="I18" s="8">
        <f>IF(COUNTA(I2:I12),COUNTIF(I2:I12,"&gt;0")/COUNTA(I2:I12),"—")</f>
        <v/>
      </c>
      <c r="J18" s="8">
        <f>IF(COUNTA(J2:J12),COUNTIF(J2:J12,"&gt;0")/COUNTA(J2:J12),"—")</f>
        <v/>
      </c>
      <c r="K18" s="8">
        <f>IF(COUNTA(K2:K12),COUNTIF(K2:K12,"&gt;0")/COUNTA(K2:K12),"—")</f>
        <v/>
      </c>
      <c r="L18" s="8">
        <f>IF(COUNTA(L2:L12),COUNTIF(L2:L12,"&gt;0")/COUNTA(L2:L12),"—")</f>
        <v/>
      </c>
      <c r="M18" s="8">
        <f>IF(COUNTA(M2:M12),COUNTIF(M2:M12,"&gt;0")/COUNTA(M2:M12),"—")</f>
        <v/>
      </c>
      <c r="N18" s="8">
        <f>IF(COUNTA(N2:N12),COUNTIF(N2:N12,"&gt;0")/COUNTA(N2:N12),"—")</f>
        <v/>
      </c>
      <c r="O18" s="8">
        <f>IF(COUNTA(O2:O12),COUNTIF(O2:O12,"&gt;0")/COUNTA(O2:O12),"—")</f>
        <v/>
      </c>
      <c r="P18" s="8">
        <f>IF(COUNTA(P2:P12),COUNTIF(P2:P12,"&gt;0")/COUNTA(P2:P12),"—")</f>
        <v/>
      </c>
      <c r="Q18" s="8">
        <f>IF(COUNTA(Q2:Q12),COUNTIF(Q2:Q12,"&gt;0")/COUNTA(Q2:Q12),"—")</f>
        <v/>
      </c>
      <c r="R18" s="8">
        <f>IF(COUNTA(R2:R12),COUNTIF(R2:R12,"&gt;0")/COUNTA(R2:R12),"—")</f>
        <v/>
      </c>
      <c r="S18" s="8">
        <f>IF(COUNTA(S2:S12),COUNTIF(S2:S12,"&gt;0")/COUNTA(S2:S12),"—")</f>
        <v/>
      </c>
      <c r="T18" s="8">
        <f>IF(COUNTA(T2:T12),COUNTIF(T2:T12,"&gt;0")/COUNTA(T2:T12),"—")</f>
        <v/>
      </c>
      <c r="U18" s="8">
        <f>IF(COUNTA(U2:U12),COUNTIF(U2:U12,"&gt;0")/COUNTA(U2:U12),"—")</f>
        <v/>
      </c>
      <c r="V18" s="8">
        <f>IF(COUNTA(V2:V12),COUNTIF(V2:V12,"&gt;0")/COUNTA(V2:V12),"—")</f>
        <v/>
      </c>
      <c r="W18" s="8">
        <f>IF(COUNTA(W2:W12),COUNTIF(W2:W12,"&gt;0")/COUNTA(W2:W12),"—")</f>
        <v/>
      </c>
      <c r="X18" s="8">
        <f>IF(COUNTA(X2:X12),COUNTIF(X2:X12,"&gt;0")/COUNTA(X2:X12),"—")</f>
        <v/>
      </c>
      <c r="Y18" s="8">
        <f>IF(COUNTA(Y2:Y12),COUNTIF(Y2:Y12,"&gt;0")/COUNTA(Y2:Y12),"—")</f>
        <v/>
      </c>
      <c r="Z18" s="8">
        <f>IF(COUNTA(Z2:Z12),COUNTIF(Z2:Z12,"&gt;0")/COUNTA(Z2:Z12),"—")</f>
        <v/>
      </c>
      <c r="AA18" s="8">
        <f>IF(COUNTA(AA2:AA12),COUNTIF(AA2:AA12,"&gt;0")/COUNTA(AA2:AA12),"—")</f>
        <v/>
      </c>
      <c r="AB18" s="8">
        <f>IF(COUNTA(AB2:AB12),COUNTIF(AB2:AB12,"&gt;0")/COUNTA(AB2:AB12),"—")</f>
        <v/>
      </c>
      <c r="AC18" s="8">
        <f>IF(COUNTA(AC2:AC12),COUNTIF(AC2:AC12,"&gt;0")/COUNTA(AC2:AC12),"—")</f>
        <v/>
      </c>
      <c r="AD18" s="8">
        <f>IF(COUNTA(AD2:AD12),COUNTIF(AD2:AD12,"&gt;0")/COUNTA(AD2:AD12),"—")</f>
        <v/>
      </c>
      <c r="AE18" s="8">
        <f>IF(COUNTA(AE2:AE12),COUNTIF(AE2:AE12,"&gt;0")/COUNTA(AE2:AE12),"—")</f>
        <v/>
      </c>
    </row>
    <row r="19">
      <c r="A19" s="6" t="inlineStr">
        <is>
          <t>% Neg</t>
        </is>
      </c>
      <c r="B19" s="8">
        <f>IF(COUNTA(B2:B12),COUNTIF(B2:B12,"&lt;0")/COUNTA(B2:B12),"—")</f>
        <v/>
      </c>
      <c r="C19" s="8">
        <f>IF(COUNTA(C2:C12),COUNTIF(C2:C12,"&lt;0")/COUNTA(C2:C12),"—")</f>
        <v/>
      </c>
      <c r="D19" s="8">
        <f>IF(COUNTA(D2:D12),COUNTIF(D2:D12,"&lt;0")/COUNTA(D2:D12),"—")</f>
        <v/>
      </c>
      <c r="E19" s="8">
        <f>IF(COUNTA(E2:E12),COUNTIF(E2:E12,"&lt;0")/COUNTA(E2:E12),"—")</f>
        <v/>
      </c>
      <c r="F19" s="8">
        <f>IF(COUNTA(F2:F12),COUNTIF(F2:F12,"&lt;0")/COUNTA(F2:F12),"—")</f>
        <v/>
      </c>
      <c r="G19" s="8">
        <f>IF(COUNTA(G2:G12),COUNTIF(G2:G12,"&lt;0")/COUNTA(G2:G12),"—")</f>
        <v/>
      </c>
      <c r="H19" s="8">
        <f>IF(COUNTA(H2:H12),COUNTIF(H2:H12,"&lt;0")/COUNTA(H2:H12),"—")</f>
        <v/>
      </c>
      <c r="I19" s="8">
        <f>IF(COUNTA(I2:I12),COUNTIF(I2:I12,"&lt;0")/COUNTA(I2:I12),"—")</f>
        <v/>
      </c>
      <c r="J19" s="8">
        <f>IF(COUNTA(J2:J12),COUNTIF(J2:J12,"&lt;0")/COUNTA(J2:J12),"—")</f>
        <v/>
      </c>
      <c r="K19" s="8">
        <f>IF(COUNTA(K2:K12),COUNTIF(K2:K12,"&lt;0")/COUNTA(K2:K12),"—")</f>
        <v/>
      </c>
      <c r="L19" s="8">
        <f>IF(COUNTA(L2:L12),COUNTIF(L2:L12,"&lt;0")/COUNTA(L2:L12),"—")</f>
        <v/>
      </c>
      <c r="M19" s="8">
        <f>IF(COUNTA(M2:M12),COUNTIF(M2:M12,"&lt;0")/COUNTA(M2:M12),"—")</f>
        <v/>
      </c>
      <c r="N19" s="8">
        <f>IF(COUNTA(N2:N12),COUNTIF(N2:N12,"&lt;0")/COUNTA(N2:N12),"—")</f>
        <v/>
      </c>
      <c r="O19" s="8">
        <f>IF(COUNTA(O2:O12),COUNTIF(O2:O12,"&lt;0")/COUNTA(O2:O12),"—")</f>
        <v/>
      </c>
      <c r="P19" s="8">
        <f>IF(COUNTA(P2:P12),COUNTIF(P2:P12,"&lt;0")/COUNTA(P2:P12),"—")</f>
        <v/>
      </c>
      <c r="Q19" s="8">
        <f>IF(COUNTA(Q2:Q12),COUNTIF(Q2:Q12,"&lt;0")/COUNTA(Q2:Q12),"—")</f>
        <v/>
      </c>
      <c r="R19" s="8">
        <f>IF(COUNTA(R2:R12),COUNTIF(R2:R12,"&lt;0")/COUNTA(R2:R12),"—")</f>
        <v/>
      </c>
      <c r="S19" s="8">
        <f>IF(COUNTA(S2:S12),COUNTIF(S2:S12,"&lt;0")/COUNTA(S2:S12),"—")</f>
        <v/>
      </c>
      <c r="T19" s="8">
        <f>IF(COUNTA(T2:T12),COUNTIF(T2:T12,"&lt;0")/COUNTA(T2:T12),"—")</f>
        <v/>
      </c>
      <c r="U19" s="8">
        <f>IF(COUNTA(U2:U12),COUNTIF(U2:U12,"&lt;0")/COUNTA(U2:U12),"—")</f>
        <v/>
      </c>
      <c r="V19" s="8">
        <f>IF(COUNTA(V2:V12),COUNTIF(V2:V12,"&lt;0")/COUNTA(V2:V12),"—")</f>
        <v/>
      </c>
      <c r="W19" s="8">
        <f>IF(COUNTA(W2:W12),COUNTIF(W2:W12,"&lt;0")/COUNTA(W2:W12),"—")</f>
        <v/>
      </c>
      <c r="X19" s="8">
        <f>IF(COUNTA(X2:X12),COUNTIF(X2:X12,"&lt;0")/COUNTA(X2:X12),"—")</f>
        <v/>
      </c>
      <c r="Y19" s="8">
        <f>IF(COUNTA(Y2:Y12),COUNTIF(Y2:Y12,"&lt;0")/COUNTA(Y2:Y12),"—")</f>
        <v/>
      </c>
      <c r="Z19" s="8">
        <f>IF(COUNTA(Z2:Z12),COUNTIF(Z2:Z12,"&lt;0")/COUNTA(Z2:Z12),"—")</f>
        <v/>
      </c>
      <c r="AA19" s="8">
        <f>IF(COUNTA(AA2:AA12),COUNTIF(AA2:AA12,"&lt;0")/COUNTA(AA2:AA12),"—")</f>
        <v/>
      </c>
      <c r="AB19" s="8">
        <f>IF(COUNTA(AB2:AB12),COUNTIF(AB2:AB12,"&lt;0")/COUNTA(AB2:AB12),"—")</f>
        <v/>
      </c>
      <c r="AC19" s="8">
        <f>IF(COUNTA(AC2:AC12),COUNTIF(AC2:AC12,"&lt;0")/COUNTA(AC2:AC12),"—")</f>
        <v/>
      </c>
      <c r="AD19" s="8">
        <f>IF(COUNTA(AD2:AD12),COUNTIF(AD2:AD12,"&lt;0")/COUNTA(AD2:AD12),"—")</f>
        <v/>
      </c>
      <c r="AE19" s="8">
        <f>IF(COUNTA(AE2:AE12),COUNTIF(AE2:AE12,"&lt;0")/COUNTA(AE2:AE12),"—")</f>
        <v/>
      </c>
    </row>
  </sheetData>
  <autoFilter ref="A1:AE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70" customHeight="1">
      <c r="A1" s="1" t="inlineStr">
        <is>
          <t>Time</t>
        </is>
      </c>
      <c r="B1" s="1" t="inlineStr">
        <is>
          <t>Club Speed (Mph)</t>
        </is>
      </c>
      <c r="C1" s="1" t="inlineStr">
        <is>
          <t>Ball Speed (Mph)</t>
        </is>
      </c>
      <c r="D1" s="1" t="inlineStr">
        <is>
          <t>Smash Factor</t>
        </is>
      </c>
      <c r="E1" s="1" t="inlineStr">
        <is>
          <t>Carry (Yds)</t>
        </is>
      </c>
      <c r="F1" s="1" t="inlineStr">
        <is>
          <t>Total (Yds)</t>
        </is>
      </c>
      <c r="G1" s="1" t="inlineStr">
        <is>
          <t>Impact Height (mm)</t>
        </is>
      </c>
      <c r="H1" s="1" t="inlineStr">
        <is>
          <t>Impact Offset (mm)</t>
        </is>
      </c>
      <c r="I1" s="1" t="inlineStr">
        <is>
          <t>Club Path (Deg)</t>
        </is>
      </c>
      <c r="J1" s="1" t="inlineStr">
        <is>
          <t>Face Angle (Deg)</t>
        </is>
      </c>
      <c r="K1" s="1" t="inlineStr">
        <is>
          <t>Face To Path (Deg)</t>
        </is>
      </c>
      <c r="L1" s="1" t="inlineStr">
        <is>
          <t>Launch Direction (Deg)</t>
        </is>
      </c>
      <c r="M1" s="1" t="inlineStr">
        <is>
          <t>Attack Angle (Deg)</t>
        </is>
      </c>
      <c r="N1" s="1" t="inlineStr">
        <is>
          <t>Dynamic Loft (Deg)</t>
        </is>
      </c>
      <c r="O1" s="1" t="inlineStr">
        <is>
          <t>Launch Angle (Deg)</t>
        </is>
      </c>
      <c r="P1" s="1" t="inlineStr">
        <is>
          <t>Spin Loft (Deg)</t>
        </is>
      </c>
      <c r="Q1" s="1" t="inlineStr">
        <is>
          <t>Spin Rate (Rpm)</t>
        </is>
      </c>
      <c r="R1" s="1" t="inlineStr">
        <is>
          <t>Spin Axis (Deg)</t>
        </is>
      </c>
      <c r="S1" s="1" t="inlineStr">
        <is>
          <t>Curve (Ft)</t>
        </is>
      </c>
      <c r="T1" s="1" t="inlineStr">
        <is>
          <t>Carry Side (Ft)</t>
        </is>
      </c>
      <c r="U1" s="1" t="inlineStr">
        <is>
          <t>Total Side (Ft)</t>
        </is>
      </c>
      <c r="V1" s="1" t="inlineStr">
        <is>
          <t>Max Height (Ft)</t>
        </is>
      </c>
      <c r="W1" s="1" t="inlineStr">
        <is>
          <t>Landing Angle (Deg)</t>
        </is>
      </c>
      <c r="X1" s="1" t="inlineStr">
        <is>
          <t>Swing Direction (Deg)</t>
        </is>
      </c>
      <c r="Y1" s="1" t="inlineStr">
        <is>
          <t>Swing Plane (Deg)</t>
        </is>
      </c>
      <c r="Z1" s="1" t="inlineStr">
        <is>
          <t>Swing Radius</t>
        </is>
      </c>
      <c r="AA1" s="1" t="inlineStr">
        <is>
          <t>DPlane Tilt</t>
        </is>
      </c>
      <c r="AB1" s="1" t="inlineStr">
        <is>
          <t>Low Point (In)</t>
        </is>
      </c>
      <c r="AC1" s="1" t="inlineStr">
        <is>
          <t>Landing Height</t>
        </is>
      </c>
      <c r="AD1" s="1" t="inlineStr">
        <is>
          <t>Hang Time (Sec)</t>
        </is>
      </c>
      <c r="AE1" s="1" t="inlineStr">
        <is>
          <t>Dynamic Lie (Deg)</t>
        </is>
      </c>
    </row>
    <row r="2">
      <c r="A2" s="2" t="inlineStr">
        <is>
          <t>2025-09-25 12:04:50</t>
        </is>
      </c>
      <c r="B2" s="3" t="n">
        <v>87.05</v>
      </c>
      <c r="C2" s="3" t="n">
        <v>123.69</v>
      </c>
      <c r="D2" s="3" t="n">
        <v>1.42</v>
      </c>
      <c r="E2" s="3" t="n">
        <v>197.55</v>
      </c>
      <c r="F2" s="3" t="n">
        <v>218.5</v>
      </c>
      <c r="G2" s="3" t="n">
        <v>13.11</v>
      </c>
      <c r="H2" s="3" t="n">
        <v>-10.82</v>
      </c>
      <c r="I2" s="3" t="n">
        <v>2.8</v>
      </c>
      <c r="J2" s="3" t="n">
        <v>0.92</v>
      </c>
      <c r="K2" s="3" t="n">
        <v>-1.88</v>
      </c>
      <c r="L2" s="3" t="n">
        <v>1.15</v>
      </c>
      <c r="M2" s="3" t="n">
        <v>0.4</v>
      </c>
      <c r="N2" s="3" t="n">
        <v>19.31</v>
      </c>
      <c r="O2" s="3" t="n">
        <v>17.04</v>
      </c>
      <c r="P2" s="3" t="n">
        <v>19.01</v>
      </c>
      <c r="Q2" s="3" t="n">
        <v>2793.96</v>
      </c>
      <c r="R2" s="3" t="n">
        <v>1.29</v>
      </c>
      <c r="S2" s="3" t="n">
        <v>5.26</v>
      </c>
      <c r="T2" s="3" t="n">
        <v>17.15</v>
      </c>
      <c r="U2" s="3" t="n">
        <v>19.44</v>
      </c>
      <c r="V2" s="3" t="n">
        <v>84.56999999999999</v>
      </c>
      <c r="W2" s="3" t="n">
        <v>39.06</v>
      </c>
      <c r="X2" s="3" t="n">
        <v>2.62</v>
      </c>
      <c r="Y2" s="3" t="n">
        <v>47.23</v>
      </c>
      <c r="Z2" s="3" t="n">
        <v>1.43</v>
      </c>
      <c r="AA2" s="3" t="n">
        <v>-5.27</v>
      </c>
      <c r="AB2" s="3" t="n">
        <v>-1.57</v>
      </c>
      <c r="AC2" s="3" t="n">
        <v/>
      </c>
      <c r="AD2" s="3" t="n">
        <v>5.96</v>
      </c>
      <c r="AE2" s="3" t="n">
        <v>56.54</v>
      </c>
    </row>
    <row r="3">
      <c r="A3" s="4" t="inlineStr">
        <is>
          <t>2025-09-25 12:05:20</t>
        </is>
      </c>
      <c r="B3" s="5" t="n">
        <v>87.48</v>
      </c>
      <c r="C3" s="5" t="n">
        <v>126.2</v>
      </c>
      <c r="D3" s="5" t="n">
        <v>1.44</v>
      </c>
      <c r="E3" s="5" t="n">
        <v>198.24</v>
      </c>
      <c r="F3" s="5" t="n">
        <v>223.14</v>
      </c>
      <c r="G3" s="5" t="n">
        <v>3.76</v>
      </c>
      <c r="H3" s="5" t="n">
        <v>-15.46</v>
      </c>
      <c r="I3" s="5" t="n">
        <v>2.2</v>
      </c>
      <c r="J3" s="5" t="n">
        <v>-1.23</v>
      </c>
      <c r="K3" s="5" t="n">
        <v>-3.43</v>
      </c>
      <c r="L3" s="5" t="n">
        <v>-0.75</v>
      </c>
      <c r="M3" s="5" t="n">
        <v>0.8</v>
      </c>
      <c r="N3" s="5" t="n">
        <v>16.18</v>
      </c>
      <c r="O3" s="5" t="n">
        <v>14.07</v>
      </c>
      <c r="P3" s="5" t="n">
        <v>15.72</v>
      </c>
      <c r="Q3" s="5" t="n">
        <v>2711</v>
      </c>
      <c r="R3" s="5" t="n">
        <v>-0.8100000000000001</v>
      </c>
      <c r="S3" s="5" t="n">
        <v>-3.16</v>
      </c>
      <c r="T3" s="5" t="n">
        <v>-10.92</v>
      </c>
      <c r="U3" s="5" t="n">
        <v>-12.66</v>
      </c>
      <c r="V3" s="5" t="n">
        <v>69.02</v>
      </c>
      <c r="W3" s="5" t="n">
        <v>34</v>
      </c>
      <c r="X3" s="5" t="n">
        <v>2.42</v>
      </c>
      <c r="Y3" s="5" t="n">
        <v>46.96</v>
      </c>
      <c r="Z3" s="5" t="n">
        <v>1.41</v>
      </c>
      <c r="AA3" s="5" t="n">
        <v>-11.97</v>
      </c>
      <c r="AB3" s="5" t="n">
        <v>-2.17</v>
      </c>
      <c r="AC3" s="5" t="n">
        <v/>
      </c>
      <c r="AD3" s="5" t="n">
        <v>5.58</v>
      </c>
      <c r="AE3" s="5" t="n">
        <v>55.55</v>
      </c>
    </row>
    <row r="4">
      <c r="A4" s="2" t="inlineStr">
        <is>
          <t>2025-09-25 12:09:44</t>
        </is>
      </c>
      <c r="B4" s="3" t="n">
        <v>88.18000000000001</v>
      </c>
      <c r="C4" s="3" t="n">
        <v>124.21</v>
      </c>
      <c r="D4" s="3" t="n">
        <v>1.41</v>
      </c>
      <c r="E4" s="3" t="n">
        <v>194.17</v>
      </c>
      <c r="F4" s="3" t="n">
        <v>214.5</v>
      </c>
      <c r="G4" s="3" t="n">
        <v>10.58</v>
      </c>
      <c r="H4" s="3" t="n">
        <v>-21.01</v>
      </c>
      <c r="I4" s="3" t="n">
        <v>2.6</v>
      </c>
      <c r="J4" s="3" t="n">
        <v>-1.56</v>
      </c>
      <c r="K4" s="3" t="n">
        <v>-4.16</v>
      </c>
      <c r="L4" s="3" t="n">
        <v>-0.96</v>
      </c>
      <c r="M4" s="3" t="n">
        <v>0</v>
      </c>
      <c r="N4" s="3" t="n">
        <v>17.59</v>
      </c>
      <c r="O4" s="3" t="n">
        <v>15.13</v>
      </c>
      <c r="P4" s="3" t="n">
        <v>17.97</v>
      </c>
      <c r="Q4" s="3" t="n">
        <v>3116.33</v>
      </c>
      <c r="R4" s="3" t="n">
        <v>2.16</v>
      </c>
      <c r="S4" s="3" t="n">
        <v>9.06</v>
      </c>
      <c r="T4" s="3" t="n">
        <v>-0.68</v>
      </c>
      <c r="U4" s="3" t="n">
        <v>0.07000000000000001</v>
      </c>
      <c r="V4" s="3" t="n">
        <v>77.79000000000001</v>
      </c>
      <c r="W4" s="3" t="n">
        <v>37.94</v>
      </c>
      <c r="X4" s="3" t="n">
        <v>2.12</v>
      </c>
      <c r="Y4" s="3" t="n">
        <v>43.99</v>
      </c>
      <c r="Z4" s="3" t="n">
        <v>1.4</v>
      </c>
      <c r="AA4" s="3" t="n">
        <v>-12.75</v>
      </c>
      <c r="AB4" s="3" t="n">
        <v>-1.14</v>
      </c>
      <c r="AC4" s="3" t="n">
        <v/>
      </c>
      <c r="AD4" s="3" t="n">
        <v>5.83</v>
      </c>
      <c r="AE4" s="3" t="n">
        <v>55.44</v>
      </c>
    </row>
    <row r="5">
      <c r="A5" s="4" t="inlineStr">
        <is>
          <t>2025-09-25 12:05:50</t>
        </is>
      </c>
      <c r="B5" s="5" t="n">
        <v>88.8</v>
      </c>
      <c r="C5" s="5" t="n">
        <v>128.44</v>
      </c>
      <c r="D5" s="5" t="n">
        <v>1.45</v>
      </c>
      <c r="E5" s="5" t="n">
        <v>202.09</v>
      </c>
      <c r="F5" s="5" t="n">
        <v>220.65</v>
      </c>
      <c r="G5" s="5" t="n">
        <v>-2.1</v>
      </c>
      <c r="H5" s="5" t="n">
        <v>-15.55</v>
      </c>
      <c r="I5" s="5" t="n">
        <v>2.6</v>
      </c>
      <c r="J5" s="5" t="n">
        <v>1.05</v>
      </c>
      <c r="K5" s="5" t="n">
        <v>-1.55</v>
      </c>
      <c r="L5" s="5" t="n">
        <v>1.29</v>
      </c>
      <c r="M5" s="5" t="n">
        <v>0.6</v>
      </c>
      <c r="N5" s="5" t="n">
        <v>17.55</v>
      </c>
      <c r="O5" s="5" t="n">
        <v>14.98</v>
      </c>
      <c r="P5" s="5" t="n">
        <v>17.1</v>
      </c>
      <c r="Q5" s="5" t="n">
        <v>3287</v>
      </c>
      <c r="R5" s="5" t="n">
        <v>4.56</v>
      </c>
      <c r="S5" s="5" t="n">
        <v>21.26</v>
      </c>
      <c r="T5" s="5" t="n">
        <v>34.86</v>
      </c>
      <c r="U5" s="5" t="n">
        <v>39.69</v>
      </c>
      <c r="V5" s="5" t="n">
        <v>85.41</v>
      </c>
      <c r="W5" s="5" t="n">
        <v>39.89</v>
      </c>
      <c r="X5" s="5" t="n">
        <v>2.55</v>
      </c>
      <c r="Y5" s="5" t="n">
        <v>44.5</v>
      </c>
      <c r="Z5" s="5" t="n">
        <v>1.37</v>
      </c>
      <c r="AA5" s="5" t="n">
        <v>-4.79</v>
      </c>
      <c r="AB5" s="5" t="n">
        <v>-1.73</v>
      </c>
      <c r="AC5" s="5" t="n">
        <v/>
      </c>
      <c r="AD5" s="5" t="n">
        <v>6.1</v>
      </c>
      <c r="AE5" s="5" t="n">
        <v>50.35</v>
      </c>
    </row>
    <row r="6">
      <c r="A6" s="2" t="inlineStr">
        <is>
          <t>2025-09-25 12:07:52</t>
        </is>
      </c>
      <c r="B6" s="3" t="n">
        <v>89.70999999999999</v>
      </c>
      <c r="C6" s="3" t="n">
        <v>129.35</v>
      </c>
      <c r="D6" s="3" t="n">
        <v>1.44</v>
      </c>
      <c r="E6" s="3" t="n">
        <v>211.16</v>
      </c>
      <c r="F6" s="3" t="n">
        <v>236.9</v>
      </c>
      <c r="G6" s="3" t="n">
        <v>7.68</v>
      </c>
      <c r="H6" s="3" t="n">
        <v>-4.33</v>
      </c>
      <c r="I6" s="3" t="n">
        <v>4.6</v>
      </c>
      <c r="J6" s="3" t="n">
        <v>0.82</v>
      </c>
      <c r="K6" s="3" t="n">
        <v>-3.78</v>
      </c>
      <c r="L6" s="3" t="n">
        <v>1.25</v>
      </c>
      <c r="M6" s="3" t="n">
        <v>2.8</v>
      </c>
      <c r="N6" s="3" t="n">
        <v>18.61</v>
      </c>
      <c r="O6" s="3" t="n">
        <v>16.92</v>
      </c>
      <c r="P6" s="3" t="n">
        <v>16.27</v>
      </c>
      <c r="Q6" s="3" t="n">
        <v>2234</v>
      </c>
      <c r="R6" s="3" t="n">
        <v>-10.8</v>
      </c>
      <c r="S6" s="3" t="n">
        <v>-41.14</v>
      </c>
      <c r="T6" s="3" t="n">
        <v>-27.31</v>
      </c>
      <c r="U6" s="3" t="n">
        <v>-35.2</v>
      </c>
      <c r="V6" s="3" t="n">
        <v>83.02</v>
      </c>
      <c r="W6" s="3" t="n">
        <v>36.14</v>
      </c>
      <c r="X6" s="3" t="n">
        <v>6.59</v>
      </c>
      <c r="Y6" s="3" t="n">
        <v>49.61</v>
      </c>
      <c r="Z6" s="3" t="n">
        <v>1.44</v>
      </c>
      <c r="AA6" s="3" t="n">
        <v>-13.11</v>
      </c>
      <c r="AB6" s="3" t="n">
        <v>-4.76</v>
      </c>
      <c r="AC6" s="3" t="n">
        <v/>
      </c>
      <c r="AD6" s="3" t="n">
        <v>5.86</v>
      </c>
      <c r="AE6" s="3" t="n">
        <v>51.17</v>
      </c>
    </row>
    <row r="7">
      <c r="A7" s="4" t="inlineStr">
        <is>
          <t>2025-09-25 12:06:25</t>
        </is>
      </c>
      <c r="B7" s="5" t="n">
        <v>86.61</v>
      </c>
      <c r="C7" s="5" t="n">
        <v>125.55</v>
      </c>
      <c r="D7" s="5" t="n">
        <v>1.45</v>
      </c>
      <c r="E7" s="5" t="n">
        <v>201.81</v>
      </c>
      <c r="F7" s="5" t="n">
        <v>226.61</v>
      </c>
      <c r="G7" s="5" t="n">
        <v>5.81</v>
      </c>
      <c r="H7" s="5" t="n">
        <v>-8.42</v>
      </c>
      <c r="I7" s="5" t="n">
        <v>2.2</v>
      </c>
      <c r="J7" s="5" t="n">
        <v>0.33</v>
      </c>
      <c r="K7" s="5" t="n">
        <v>-1.87</v>
      </c>
      <c r="L7" s="5" t="n">
        <v>0.5600000000000001</v>
      </c>
      <c r="M7" s="5" t="n">
        <v>1.6</v>
      </c>
      <c r="N7" s="5" t="n">
        <v>18.21</v>
      </c>
      <c r="O7" s="5" t="n">
        <v>16.25</v>
      </c>
      <c r="P7" s="5" t="n">
        <v>16.64</v>
      </c>
      <c r="Q7" s="5" t="n">
        <v>2458.14</v>
      </c>
      <c r="R7" s="5" t="n">
        <v>-0.13</v>
      </c>
      <c r="S7" s="5" t="n">
        <v>-0.48</v>
      </c>
      <c r="T7" s="5" t="n">
        <v>5.45</v>
      </c>
      <c r="U7" s="5" t="n">
        <v>6.07</v>
      </c>
      <c r="V7" s="5" t="n">
        <v>77.86</v>
      </c>
      <c r="W7" s="5" t="n">
        <v>35.94</v>
      </c>
      <c r="X7" s="5" t="n">
        <v>3.32</v>
      </c>
      <c r="Y7" s="5" t="n">
        <v>45.62</v>
      </c>
      <c r="Z7" s="5" t="n">
        <v>1.44</v>
      </c>
      <c r="AA7" s="5" t="n">
        <v>-6.08</v>
      </c>
      <c r="AB7" s="5" t="n">
        <v>-3.43</v>
      </c>
      <c r="AC7" s="5" t="n">
        <v/>
      </c>
      <c r="AD7" s="5" t="n">
        <v>5.75</v>
      </c>
      <c r="AE7" s="5" t="n">
        <v>53.57</v>
      </c>
    </row>
    <row r="8">
      <c r="A8" s="2" t="inlineStr">
        <is>
          <t>2025-09-25 12:06:53</t>
        </is>
      </c>
      <c r="B8" s="3" t="n">
        <v>89.13</v>
      </c>
      <c r="C8" s="3" t="n">
        <v>124.32</v>
      </c>
      <c r="D8" s="3" t="n">
        <v>1.39</v>
      </c>
      <c r="E8" s="3" t="n">
        <v>200.11</v>
      </c>
      <c r="F8" s="3" t="n">
        <v>226.79</v>
      </c>
      <c r="G8" s="3" t="n">
        <v/>
      </c>
      <c r="H8" s="3" t="n">
        <v/>
      </c>
      <c r="I8" s="3" t="n">
        <v>3.2</v>
      </c>
      <c r="J8" s="3" t="n">
        <v>-1.24</v>
      </c>
      <c r="K8" s="3" t="n">
        <v>-4.43</v>
      </c>
      <c r="L8" s="3" t="n">
        <v>-0.77</v>
      </c>
      <c r="M8" s="3" t="n">
        <v>1.8</v>
      </c>
      <c r="N8" s="3" t="n">
        <v>19.06</v>
      </c>
      <c r="O8" s="3" t="n">
        <v>17.36</v>
      </c>
      <c r="P8" s="3" t="n">
        <v>17.86</v>
      </c>
      <c r="Q8" s="3" t="n">
        <v>2161.58</v>
      </c>
      <c r="R8" s="3" t="n">
        <v>-10.38</v>
      </c>
      <c r="S8" s="3" t="n">
        <v>-35.21</v>
      </c>
      <c r="T8" s="3" t="n">
        <v>-43.29</v>
      </c>
      <c r="U8" s="3" t="n">
        <v>-53.34</v>
      </c>
      <c r="V8" s="3" t="n">
        <v>77.45</v>
      </c>
      <c r="W8" s="3" t="n">
        <v>35.17</v>
      </c>
      <c r="X8" s="3" t="n">
        <v>4.18</v>
      </c>
      <c r="Y8" s="3" t="n">
        <v>50.68</v>
      </c>
      <c r="Z8" s="3" t="n">
        <v>1.4</v>
      </c>
      <c r="AA8" s="3" t="n">
        <v>-13.78</v>
      </c>
      <c r="AB8" s="3" t="n">
        <v>-3.31</v>
      </c>
      <c r="AC8" s="3" t="n">
        <v/>
      </c>
      <c r="AD8" s="3" t="n">
        <v>5.61</v>
      </c>
      <c r="AE8" s="3" t="n">
        <v/>
      </c>
    </row>
    <row r="9">
      <c r="A9" s="4" t="inlineStr">
        <is>
          <t>2025-09-25 12:07:24</t>
        </is>
      </c>
      <c r="B9" s="5" t="n">
        <v>88.17</v>
      </c>
      <c r="C9" s="5" t="n">
        <v>125.59</v>
      </c>
      <c r="D9" s="5" t="n">
        <v>1.42</v>
      </c>
      <c r="E9" s="5" t="n">
        <v>202.38</v>
      </c>
      <c r="F9" s="5" t="n">
        <v>230.1</v>
      </c>
      <c r="G9" s="5" t="n">
        <v>10.39</v>
      </c>
      <c r="H9" s="5" t="n">
        <v>-8.039999999999999</v>
      </c>
      <c r="I9" s="5" t="n">
        <v>5.6</v>
      </c>
      <c r="J9" s="5" t="n">
        <v>1.41</v>
      </c>
      <c r="K9" s="5" t="n">
        <v>-4.2</v>
      </c>
      <c r="L9" s="5" t="n">
        <v>1.83</v>
      </c>
      <c r="M9" s="5" t="n">
        <v>1.8</v>
      </c>
      <c r="N9" s="5" t="n">
        <v>18.55</v>
      </c>
      <c r="O9" s="5" t="n">
        <v>16.92</v>
      </c>
      <c r="P9" s="5" t="n">
        <v>17.21</v>
      </c>
      <c r="Q9" s="5" t="n">
        <v>2096.55</v>
      </c>
      <c r="R9" s="5" t="n">
        <v>-8.140000000000001</v>
      </c>
      <c r="S9" s="5" t="n">
        <v>-27.4</v>
      </c>
      <c r="T9" s="5" t="n">
        <v>-8</v>
      </c>
      <c r="U9" s="5" t="n">
        <v>-12.56</v>
      </c>
      <c r="V9" s="5" t="n">
        <v>76.06999999999999</v>
      </c>
      <c r="W9" s="5" t="n">
        <v>34.46</v>
      </c>
      <c r="X9" s="5" t="n">
        <v>6.49</v>
      </c>
      <c r="Y9" s="5" t="n">
        <v>52.85</v>
      </c>
      <c r="Z9" s="5" t="n">
        <v>1.45</v>
      </c>
      <c r="AA9" s="5" t="n">
        <v>-13.3</v>
      </c>
      <c r="AB9" s="5" t="n">
        <v>-3.46</v>
      </c>
      <c r="AC9" s="5" t="n">
        <v/>
      </c>
      <c r="AD9" s="5" t="n">
        <v>5.57</v>
      </c>
      <c r="AE9" s="5" t="n">
        <v>52.27</v>
      </c>
    </row>
    <row r="10">
      <c r="A10" s="2" t="inlineStr">
        <is>
          <t>2025-09-25 12:10:09</t>
        </is>
      </c>
      <c r="B10" s="3" t="n">
        <v>89.37</v>
      </c>
      <c r="C10" s="3" t="n">
        <v>128.78</v>
      </c>
      <c r="D10" s="3" t="n">
        <v>1.44</v>
      </c>
      <c r="E10" s="3" t="n">
        <v>208.97</v>
      </c>
      <c r="F10" s="3" t="n">
        <v>233.99</v>
      </c>
      <c r="G10" s="3" t="n">
        <v>1.65</v>
      </c>
      <c r="H10" s="3" t="n">
        <v>-1.36</v>
      </c>
      <c r="I10" s="3" t="n">
        <v>4.4</v>
      </c>
      <c r="J10" s="3" t="n">
        <v>2.39</v>
      </c>
      <c r="K10" s="3" t="n">
        <v>-2.01</v>
      </c>
      <c r="L10" s="3" t="n">
        <v>2.65</v>
      </c>
      <c r="M10" s="3" t="n">
        <v>3</v>
      </c>
      <c r="N10" s="3" t="n">
        <v>18.02</v>
      </c>
      <c r="O10" s="3" t="n">
        <v>16.16</v>
      </c>
      <c r="P10" s="3" t="n">
        <v>15.05</v>
      </c>
      <c r="Q10" s="3" t="n">
        <v>2402.46</v>
      </c>
      <c r="R10" s="3" t="n">
        <v>-5.91</v>
      </c>
      <c r="S10" s="3" t="n">
        <v>-23.35</v>
      </c>
      <c r="T10" s="3" t="n">
        <v>5.7</v>
      </c>
      <c r="U10" s="3" t="n">
        <v>3.84</v>
      </c>
      <c r="V10" s="3" t="n">
        <v>80.86</v>
      </c>
      <c r="W10" s="3" t="n">
        <v>36.14</v>
      </c>
      <c r="X10" s="3" t="n">
        <v>6.6</v>
      </c>
      <c r="Y10" s="3" t="n">
        <v>49.26</v>
      </c>
      <c r="Z10" s="3" t="n">
        <v>1.43</v>
      </c>
      <c r="AA10" s="3" t="n">
        <v>-7.28</v>
      </c>
      <c r="AB10" s="3" t="n">
        <v>-5.2</v>
      </c>
      <c r="AC10" s="3" t="n">
        <v/>
      </c>
      <c r="AD10" s="3" t="n">
        <v>5.86</v>
      </c>
      <c r="AE10" s="3" t="n">
        <v>51.29</v>
      </c>
    </row>
    <row r="11">
      <c r="A11" s="4" t="inlineStr">
        <is>
          <t>2025-09-25 12:10:42</t>
        </is>
      </c>
      <c r="B11" s="5" t="n">
        <v>89.56999999999999</v>
      </c>
      <c r="C11" s="5" t="n">
        <v>130.5</v>
      </c>
      <c r="D11" s="5" t="n">
        <v>1.46</v>
      </c>
      <c r="E11" s="5" t="n">
        <v>209.94</v>
      </c>
      <c r="F11" s="5" t="n">
        <v>231.87</v>
      </c>
      <c r="G11" s="5" t="n">
        <v>2.86</v>
      </c>
      <c r="H11" s="5" t="n">
        <v>-15.41</v>
      </c>
      <c r="I11" s="5" t="n">
        <v>4.2</v>
      </c>
      <c r="J11" s="5" t="n">
        <v>0.61</v>
      </c>
      <c r="K11" s="5" t="n">
        <v>-3.59</v>
      </c>
      <c r="L11" s="5" t="n">
        <v>1.13</v>
      </c>
      <c r="M11" s="5" t="n">
        <v>2.2</v>
      </c>
      <c r="N11" s="5" t="n">
        <v>17.22</v>
      </c>
      <c r="O11" s="5" t="n">
        <v>15.09</v>
      </c>
      <c r="P11" s="5" t="n">
        <v>15.44</v>
      </c>
      <c r="Q11" s="5" t="n">
        <v>2831.76</v>
      </c>
      <c r="R11" s="5" t="n">
        <v>-1.1</v>
      </c>
      <c r="S11" s="5" t="n">
        <v>-4.95</v>
      </c>
      <c r="T11" s="5" t="n">
        <v>7.45</v>
      </c>
      <c r="U11" s="5" t="n">
        <v>7.77</v>
      </c>
      <c r="V11" s="5" t="n">
        <v>83.67</v>
      </c>
      <c r="W11" s="5" t="n">
        <v>38.02</v>
      </c>
      <c r="X11" s="5" t="n">
        <v>5.57</v>
      </c>
      <c r="Y11" s="5" t="n">
        <v>48.85</v>
      </c>
      <c r="Z11" s="5" t="n">
        <v>1.42</v>
      </c>
      <c r="AA11" s="5" t="n">
        <v>-12.67</v>
      </c>
      <c r="AB11" s="5" t="n">
        <v>-3.98</v>
      </c>
      <c r="AC11" s="5" t="n">
        <v/>
      </c>
      <c r="AD11" s="5" t="n">
        <v>6.06</v>
      </c>
      <c r="AE11" s="5" t="n">
        <v>53.55</v>
      </c>
    </row>
    <row r="12">
      <c r="A12" s="2" t="inlineStr">
        <is>
          <t>2025-09-25 11:50:21</t>
        </is>
      </c>
      <c r="B12" s="3" t="n">
        <v>83.33</v>
      </c>
      <c r="C12" s="3" t="n">
        <v>113.92</v>
      </c>
      <c r="D12" s="3" t="n">
        <v>1.37</v>
      </c>
      <c r="E12" s="3" t="n">
        <v>174.23</v>
      </c>
      <c r="F12" s="3" t="n">
        <v>197.65</v>
      </c>
      <c r="G12" s="3" t="n">
        <v>1.06</v>
      </c>
      <c r="H12" s="3" t="n">
        <v>-13.18</v>
      </c>
      <c r="I12" s="3" t="n">
        <v>3.4</v>
      </c>
      <c r="J12" s="3" t="n">
        <v>0.31</v>
      </c>
      <c r="K12" s="3" t="n">
        <v>-3.09</v>
      </c>
      <c r="L12" s="3" t="n">
        <v>0.71</v>
      </c>
      <c r="M12" s="3" t="n">
        <v>0</v>
      </c>
      <c r="N12" s="3" t="n">
        <v>18.99</v>
      </c>
      <c r="O12" s="3" t="n">
        <v>16.62</v>
      </c>
      <c r="P12" s="3" t="n">
        <v>19.34</v>
      </c>
      <c r="Q12" s="3" t="n">
        <v>2713.73</v>
      </c>
      <c r="R12" s="3" t="n">
        <v>-3.9</v>
      </c>
      <c r="S12" s="3" t="n">
        <v>-12.39</v>
      </c>
      <c r="T12" s="3" t="n">
        <v>-5.89</v>
      </c>
      <c r="U12" s="3" t="n">
        <v>-8.16</v>
      </c>
      <c r="V12" s="3" t="n">
        <v>66.22</v>
      </c>
      <c r="W12" s="3" t="n">
        <v>34.94</v>
      </c>
      <c r="X12" s="3" t="n">
        <v>2.97</v>
      </c>
      <c r="Y12" s="3" t="n">
        <v>60.8</v>
      </c>
      <c r="Z12" s="3" t="n">
        <v>1.24</v>
      </c>
      <c r="AA12" s="3" t="n">
        <v>-8.68</v>
      </c>
      <c r="AB12" s="3" t="n">
        <v>-0.71</v>
      </c>
      <c r="AC12" s="3" t="n">
        <v/>
      </c>
      <c r="AD12" s="3" t="n">
        <v>5.28</v>
      </c>
      <c r="AE12" s="3" t="n">
        <v>57.41</v>
      </c>
    </row>
    <row r="13">
      <c r="A13" s="4" t="inlineStr">
        <is>
          <t>2025-09-25 11:50:52</t>
        </is>
      </c>
      <c r="B13" s="5" t="n">
        <v>82.28</v>
      </c>
      <c r="C13" s="5" t="n">
        <v>117.18</v>
      </c>
      <c r="D13" s="5" t="n">
        <v>1.42</v>
      </c>
      <c r="E13" s="5" t="n">
        <v>174.43</v>
      </c>
      <c r="F13" s="5" t="n">
        <v>192.33</v>
      </c>
      <c r="G13" s="5" t="n">
        <v>-1.62</v>
      </c>
      <c r="H13" s="5" t="n">
        <v>-15.21</v>
      </c>
      <c r="I13" s="5" t="n">
        <v>0.2</v>
      </c>
      <c r="J13" s="5" t="n">
        <v>-0.65</v>
      </c>
      <c r="K13" s="5" t="n">
        <v>-0.85</v>
      </c>
      <c r="L13" s="5" t="n">
        <v>-0.52</v>
      </c>
      <c r="M13" s="5" t="n">
        <v>-3.2</v>
      </c>
      <c r="N13" s="5" t="n">
        <v>18.01</v>
      </c>
      <c r="O13" s="5" t="n">
        <v>14.73</v>
      </c>
      <c r="P13" s="5" t="n">
        <v>21.36</v>
      </c>
      <c r="Q13" s="5" t="n">
        <v>3811.23</v>
      </c>
      <c r="R13" s="5" t="n">
        <v>2.77</v>
      </c>
      <c r="S13" s="5" t="n">
        <v>10.81</v>
      </c>
      <c r="T13" s="5" t="n">
        <v>6.08</v>
      </c>
      <c r="U13" s="5" t="n">
        <v>7.63</v>
      </c>
      <c r="V13" s="5" t="n">
        <v>70.36</v>
      </c>
      <c r="W13" s="5" t="n">
        <v>38.07</v>
      </c>
      <c r="X13" s="5" t="n">
        <v>-2.73</v>
      </c>
      <c r="Y13" s="5" t="n">
        <v>52.51</v>
      </c>
      <c r="Z13" s="5" t="n">
        <v>1.29</v>
      </c>
      <c r="AA13" s="5" t="n">
        <v>-2.12</v>
      </c>
      <c r="AB13" s="5" t="n">
        <v>3.07</v>
      </c>
      <c r="AC13" s="5" t="n">
        <v/>
      </c>
      <c r="AD13" s="5" t="n">
        <v>5.54</v>
      </c>
      <c r="AE13" s="5" t="n">
        <v>57.53</v>
      </c>
    </row>
    <row r="14">
      <c r="A14" s="2" t="inlineStr">
        <is>
          <t>2025-09-25 11:58:19</t>
        </is>
      </c>
      <c r="B14" s="3" t="n">
        <v>84.31</v>
      </c>
      <c r="C14" s="3" t="n">
        <v>109.74</v>
      </c>
      <c r="D14" s="3" t="n">
        <v>1.3</v>
      </c>
      <c r="E14" s="3" t="n">
        <v>164.38</v>
      </c>
      <c r="F14" s="3" t="n">
        <v>183.96</v>
      </c>
      <c r="G14" s="3" t="n">
        <v>2.31</v>
      </c>
      <c r="H14" s="3" t="n">
        <v>-24.4</v>
      </c>
      <c r="I14" s="3" t="n">
        <v>3.2</v>
      </c>
      <c r="J14" s="3" t="n">
        <v>2.25</v>
      </c>
      <c r="K14" s="3" t="n">
        <v>-0.95</v>
      </c>
      <c r="L14" s="3" t="n">
        <v>2.38</v>
      </c>
      <c r="M14" s="3" t="n">
        <v>-1.2</v>
      </c>
      <c r="N14" s="3" t="n">
        <v>20.54</v>
      </c>
      <c r="O14" s="3" t="n">
        <v>17.62</v>
      </c>
      <c r="P14" s="3" t="n">
        <v>21.88</v>
      </c>
      <c r="Q14" s="3" t="n">
        <v>3181.71</v>
      </c>
      <c r="R14" s="3" t="n">
        <v>3.69</v>
      </c>
      <c r="S14" s="3" t="n">
        <v>11.91</v>
      </c>
      <c r="T14" s="3" t="n">
        <v>32.33</v>
      </c>
      <c r="U14" s="3" t="n">
        <v>37.35</v>
      </c>
      <c r="V14" s="3" t="n">
        <v>69.31</v>
      </c>
      <c r="W14" s="3" t="n">
        <v>37.7</v>
      </c>
      <c r="X14" s="3" t="n">
        <v>2.1</v>
      </c>
      <c r="Y14" s="3" t="n">
        <v>61.37</v>
      </c>
      <c r="Z14" s="3" t="n">
        <v>1.26</v>
      </c>
      <c r="AA14" s="3" t="n">
        <v>-2.22</v>
      </c>
      <c r="AB14" s="3" t="n">
        <v>0.51</v>
      </c>
      <c r="AC14" s="3" t="n">
        <v/>
      </c>
      <c r="AD14" s="3" t="n">
        <v>5.33</v>
      </c>
      <c r="AE14" s="3" t="n">
        <v>57.44</v>
      </c>
    </row>
    <row r="15">
      <c r="A15" s="4" t="inlineStr">
        <is>
          <t>2025-09-25 11:51:16</t>
        </is>
      </c>
      <c r="B15" s="5" t="n">
        <v>83.09999999999999</v>
      </c>
      <c r="C15" s="5" t="n">
        <v>112.64</v>
      </c>
      <c r="D15" s="5" t="n">
        <v>1.36</v>
      </c>
      <c r="E15" s="5" t="n">
        <v>167.75</v>
      </c>
      <c r="F15" s="5" t="n">
        <v>193.77</v>
      </c>
      <c r="G15" s="5" t="n">
        <v>0.76</v>
      </c>
      <c r="H15" s="5" t="n">
        <v>-12.51</v>
      </c>
      <c r="I15" s="5" t="n">
        <v>4</v>
      </c>
      <c r="J15" s="5" t="n">
        <v>-0.54</v>
      </c>
      <c r="K15" s="5" t="n">
        <v>-4.54</v>
      </c>
      <c r="L15" s="5" t="n">
        <v>0.07000000000000001</v>
      </c>
      <c r="M15" s="5" t="n">
        <v>-0.2</v>
      </c>
      <c r="N15" s="5" t="n">
        <v>17.59</v>
      </c>
      <c r="O15" s="5" t="n">
        <v>15.27</v>
      </c>
      <c r="P15" s="5" t="n">
        <v>18.52</v>
      </c>
      <c r="Q15" s="5" t="n">
        <v>2676.56</v>
      </c>
      <c r="R15" s="5" t="n">
        <v>-7.94</v>
      </c>
      <c r="S15" s="5" t="n">
        <v>-22.87</v>
      </c>
      <c r="T15" s="5" t="n">
        <v>-22.23</v>
      </c>
      <c r="U15" s="5" t="n">
        <v>-29.01</v>
      </c>
      <c r="V15" s="5" t="n">
        <v>56.65</v>
      </c>
      <c r="W15" s="5" t="n">
        <v>31.74</v>
      </c>
      <c r="X15" s="5" t="n">
        <v>3.42</v>
      </c>
      <c r="Y15" s="5" t="n">
        <v>62.79</v>
      </c>
      <c r="Z15" s="5" t="n">
        <v>1.25</v>
      </c>
      <c r="AA15" s="5" t="n">
        <v>-13.51</v>
      </c>
      <c r="AB15" s="5" t="n">
        <v>-0.43</v>
      </c>
      <c r="AC15" s="5" t="n">
        <v/>
      </c>
      <c r="AD15" s="5" t="n">
        <v>4.95</v>
      </c>
      <c r="AE15" s="5" t="n">
        <v>56.01</v>
      </c>
    </row>
    <row r="16">
      <c r="A16" s="2" t="inlineStr">
        <is>
          <t>2025-09-25 11:51:37</t>
        </is>
      </c>
      <c r="B16" s="3" t="n">
        <v>84.28</v>
      </c>
      <c r="C16" s="3" t="n">
        <v>104.57</v>
      </c>
      <c r="D16" s="3" t="n">
        <v>1.24</v>
      </c>
      <c r="E16" s="3" t="n">
        <v>150.98</v>
      </c>
      <c r="F16" s="3" t="n">
        <v>179.89</v>
      </c>
      <c r="G16" s="3" t="n">
        <v>3.26</v>
      </c>
      <c r="H16" s="3" t="n">
        <v>-22.36</v>
      </c>
      <c r="I16" s="3" t="n">
        <v>5.8</v>
      </c>
      <c r="J16" s="3" t="n">
        <v>2.71</v>
      </c>
      <c r="K16" s="3" t="n">
        <v>-3.09</v>
      </c>
      <c r="L16" s="3" t="n">
        <v>3.08</v>
      </c>
      <c r="M16" s="3" t="n">
        <v>0.2</v>
      </c>
      <c r="N16" s="3" t="n">
        <v>18.87</v>
      </c>
      <c r="O16" s="3" t="n">
        <v>16.75</v>
      </c>
      <c r="P16" s="3" t="n">
        <v>18.93</v>
      </c>
      <c r="Q16" s="3" t="n">
        <v>2237.08</v>
      </c>
      <c r="R16" s="3" t="n">
        <v>-2.61</v>
      </c>
      <c r="S16" s="3" t="n">
        <v>-5.53</v>
      </c>
      <c r="T16" s="3" t="n">
        <v>18.78</v>
      </c>
      <c r="U16" s="3" t="n">
        <v>21.37</v>
      </c>
      <c r="V16" s="3" t="n">
        <v>50.06</v>
      </c>
      <c r="W16" s="3" t="n">
        <v>29.78</v>
      </c>
      <c r="X16" s="3" t="n">
        <v>5.49</v>
      </c>
      <c r="Y16" s="3" t="n">
        <v>68.09</v>
      </c>
      <c r="Z16" s="3" t="n">
        <v>1.18</v>
      </c>
      <c r="AA16" s="3" t="n">
        <v>-8.82</v>
      </c>
      <c r="AB16" s="3" t="n">
        <v>-0.98</v>
      </c>
      <c r="AC16" s="3" t="n">
        <v/>
      </c>
      <c r="AD16" s="3" t="n">
        <v>4.5</v>
      </c>
      <c r="AE16" s="3" t="n">
        <v>55.17</v>
      </c>
    </row>
    <row r="17">
      <c r="A17" s="4" t="inlineStr">
        <is>
          <t>2025-09-25 11:52:06</t>
        </is>
      </c>
      <c r="B17" s="5" t="n">
        <v>84.90000000000001</v>
      </c>
      <c r="C17" s="5" t="n">
        <v>105.98</v>
      </c>
      <c r="D17" s="5" t="n">
        <v>1.25</v>
      </c>
      <c r="E17" s="5" t="n">
        <v>150.17</v>
      </c>
      <c r="F17" s="5" t="n">
        <v>182.16</v>
      </c>
      <c r="G17" s="5" t="n">
        <v/>
      </c>
      <c r="H17" s="5" t="n">
        <v/>
      </c>
      <c r="I17" s="5" t="n">
        <v>2.6</v>
      </c>
      <c r="J17" s="5" t="n">
        <v>-0.55</v>
      </c>
      <c r="K17" s="5" t="n">
        <v>-3.15</v>
      </c>
      <c r="L17" s="5" t="n">
        <v>-0.18</v>
      </c>
      <c r="M17" s="5" t="n">
        <v>0.6</v>
      </c>
      <c r="N17" s="5" t="n">
        <v>17.75</v>
      </c>
      <c r="O17" s="5" t="n">
        <v>15.81</v>
      </c>
      <c r="P17" s="5" t="n">
        <v>17.45</v>
      </c>
      <c r="Q17" s="5" t="n">
        <v>2081</v>
      </c>
      <c r="R17" s="5" t="n">
        <v>-8.26</v>
      </c>
      <c r="S17" s="5" t="n">
        <v>-16.05</v>
      </c>
      <c r="T17" s="5" t="n">
        <v>-17.46</v>
      </c>
      <c r="U17" s="5" t="n">
        <v>-24.49</v>
      </c>
      <c r="V17" s="5" t="n">
        <v>45.7</v>
      </c>
      <c r="W17" s="5" t="n">
        <v>27.52</v>
      </c>
      <c r="X17" s="5" t="n">
        <v>2.43</v>
      </c>
      <c r="Y17" s="5" t="n">
        <v>70.81999999999999</v>
      </c>
      <c r="Z17" s="5" t="n">
        <v>1.18</v>
      </c>
      <c r="AA17" s="5" t="n">
        <v>-9.82</v>
      </c>
      <c r="AB17" s="5" t="n">
        <v>-1.38</v>
      </c>
      <c r="AC17" s="5" t="n">
        <v/>
      </c>
      <c r="AD17" s="5" t="n">
        <v>4.3</v>
      </c>
      <c r="AE17" s="5" t="n">
        <v/>
      </c>
    </row>
    <row r="18">
      <c r="A18" s="2" t="inlineStr">
        <is>
          <t>2025-09-25 11:52:32</t>
        </is>
      </c>
      <c r="B18" s="3" t="n">
        <v>80.25</v>
      </c>
      <c r="C18" s="3" t="n">
        <v>115.23</v>
      </c>
      <c r="D18" s="3" t="n">
        <v>1.44</v>
      </c>
      <c r="E18" s="3" t="n">
        <v>172.91</v>
      </c>
      <c r="F18" s="3" t="n">
        <v>194.9</v>
      </c>
      <c r="G18" s="3" t="n">
        <v>-1.18</v>
      </c>
      <c r="H18" s="3" t="n">
        <v>-9.5</v>
      </c>
      <c r="I18" s="3" t="n">
        <v>1.4</v>
      </c>
      <c r="J18" s="3" t="n">
        <v>-2.94</v>
      </c>
      <c r="K18" s="3" t="n">
        <v>-4.34</v>
      </c>
      <c r="L18" s="3" t="n">
        <v>-2.29</v>
      </c>
      <c r="M18" s="3" t="n">
        <v>-0.8</v>
      </c>
      <c r="N18" s="3" t="n">
        <v>17.83</v>
      </c>
      <c r="O18" s="3" t="n">
        <v>15.15</v>
      </c>
      <c r="P18" s="3" t="n">
        <v>19.13</v>
      </c>
      <c r="Q18" s="3" t="n">
        <v>3144.49</v>
      </c>
      <c r="R18" s="3" t="n">
        <v>-7.97</v>
      </c>
      <c r="S18" s="3" t="n">
        <v>-27.18</v>
      </c>
      <c r="T18" s="3" t="n">
        <v>-47.87</v>
      </c>
      <c r="U18" s="3" t="n">
        <v>-57.01</v>
      </c>
      <c r="V18" s="3" t="n">
        <v>64.05</v>
      </c>
      <c r="W18" s="3" t="n">
        <v>34.98</v>
      </c>
      <c r="X18" s="3" t="n">
        <v>0.48</v>
      </c>
      <c r="Y18" s="3" t="n">
        <v>57.17</v>
      </c>
      <c r="Z18" s="3" t="n">
        <v>1.27</v>
      </c>
      <c r="AA18" s="3" t="n">
        <v>-12.49</v>
      </c>
      <c r="AB18" s="3" t="n">
        <v>0.08</v>
      </c>
      <c r="AC18" s="3" t="n">
        <v/>
      </c>
      <c r="AD18" s="3" t="n">
        <v>5.28</v>
      </c>
      <c r="AE18" s="3" t="n">
        <v>56.69</v>
      </c>
    </row>
    <row r="19">
      <c r="A19" s="4" t="inlineStr">
        <is>
          <t>2025-09-25 11:53:16</t>
        </is>
      </c>
      <c r="B19" s="5" t="n">
        <v>81.98999999999999</v>
      </c>
      <c r="C19" s="5" t="n">
        <v>108.85</v>
      </c>
      <c r="D19" s="5" t="n">
        <v>1.33</v>
      </c>
      <c r="E19" s="5" t="n">
        <v>163.95</v>
      </c>
      <c r="F19" s="5" t="n">
        <v>187.57</v>
      </c>
      <c r="G19" s="5" t="n">
        <v>1.68</v>
      </c>
      <c r="H19" s="5" t="n">
        <v>-12.71</v>
      </c>
      <c r="I19" s="5" t="n">
        <v>2.8</v>
      </c>
      <c r="J19" s="5" t="n">
        <v>1.49</v>
      </c>
      <c r="K19" s="5" t="n">
        <v>-1.31</v>
      </c>
      <c r="L19" s="5" t="n">
        <v>1.64</v>
      </c>
      <c r="M19" s="5" t="n">
        <v>-0.2</v>
      </c>
      <c r="N19" s="5" t="n">
        <v>19.94</v>
      </c>
      <c r="O19" s="5" t="n">
        <v>17.5</v>
      </c>
      <c r="P19" s="5" t="n">
        <v>20.22</v>
      </c>
      <c r="Q19" s="5" t="n">
        <v>2639</v>
      </c>
      <c r="R19" s="5" t="n">
        <v>0.33</v>
      </c>
      <c r="S19" s="5" t="n">
        <v>0.92</v>
      </c>
      <c r="T19" s="5" t="n">
        <v>15.01</v>
      </c>
      <c r="U19" s="5" t="n">
        <v>17.29</v>
      </c>
      <c r="V19" s="5" t="n">
        <v>62.9</v>
      </c>
      <c r="W19" s="5" t="n">
        <v>34.56</v>
      </c>
      <c r="X19" s="5" t="n">
        <v>2.23</v>
      </c>
      <c r="Y19" s="5" t="n">
        <v>58.78</v>
      </c>
      <c r="Z19" s="5" t="n">
        <v>1.26</v>
      </c>
      <c r="AA19" s="5" t="n">
        <v>-3.31</v>
      </c>
      <c r="AB19" s="5" t="n">
        <v>-0.55</v>
      </c>
      <c r="AC19" s="5" t="n">
        <v/>
      </c>
      <c r="AD19" s="5" t="n">
        <v>5.08</v>
      </c>
      <c r="AE19" s="5" t="n">
        <v>56.49</v>
      </c>
    </row>
    <row r="20">
      <c r="A20" s="2" t="inlineStr">
        <is>
          <t>2025-09-25 11:53:31</t>
        </is>
      </c>
      <c r="B20" s="3" t="n">
        <v>85.05</v>
      </c>
      <c r="C20" s="3" t="n">
        <v>106.96</v>
      </c>
      <c r="D20" s="3" t="n">
        <v>1.26</v>
      </c>
      <c r="E20" s="3" t="n">
        <v>158.03</v>
      </c>
      <c r="F20" s="3" t="n">
        <v>180.85</v>
      </c>
      <c r="G20" s="3" t="n">
        <v>-3.19</v>
      </c>
      <c r="H20" s="3" t="n">
        <v>-21.84</v>
      </c>
      <c r="I20" s="3" t="n">
        <v>3.4</v>
      </c>
      <c r="J20" s="3" t="n">
        <v>1.55</v>
      </c>
      <c r="K20" s="3" t="n">
        <v>-1.85</v>
      </c>
      <c r="L20" s="3" t="n">
        <v>1.85</v>
      </c>
      <c r="M20" s="3" t="n">
        <v>1.6</v>
      </c>
      <c r="N20" s="3" t="n">
        <v>19.67</v>
      </c>
      <c r="O20" s="3" t="n">
        <v>16.99</v>
      </c>
      <c r="P20" s="3" t="n">
        <v>18.19</v>
      </c>
      <c r="Q20" s="3" t="n">
        <v>2868</v>
      </c>
      <c r="R20" s="3" t="n">
        <v>0.54</v>
      </c>
      <c r="S20" s="3" t="n">
        <v>1.49</v>
      </c>
      <c r="T20" s="3" t="n">
        <v>16.79</v>
      </c>
      <c r="U20" s="3" t="n">
        <v>19.4</v>
      </c>
      <c r="V20" s="3" t="n">
        <v>59.85</v>
      </c>
      <c r="W20" s="3" t="n">
        <v>34.37</v>
      </c>
      <c r="X20" s="3" t="n">
        <v>3.96</v>
      </c>
      <c r="Y20" s="3" t="n">
        <v>62.98</v>
      </c>
      <c r="Z20" s="3" t="n">
        <v>1.32</v>
      </c>
      <c r="AA20" s="3" t="n">
        <v>-5.71</v>
      </c>
      <c r="AB20" s="3" t="n">
        <v>-2.48</v>
      </c>
      <c r="AC20" s="3" t="n">
        <v/>
      </c>
      <c r="AD20" s="3" t="n">
        <v>4.98</v>
      </c>
      <c r="AE20" s="3" t="n">
        <v>50.98</v>
      </c>
    </row>
    <row r="21">
      <c r="A21" s="4" t="inlineStr">
        <is>
          <t>2025-09-25 11:53:45</t>
        </is>
      </c>
      <c r="B21" s="5" t="n">
        <v>82.31</v>
      </c>
      <c r="C21" s="5" t="n">
        <v>104.21</v>
      </c>
      <c r="D21" s="5" t="n">
        <v>1.27</v>
      </c>
      <c r="E21" s="5" t="n">
        <v>152.47</v>
      </c>
      <c r="F21" s="5" t="n">
        <v>178.23</v>
      </c>
      <c r="G21" s="5" t="n">
        <v>2.02</v>
      </c>
      <c r="H21" s="5" t="n">
        <v>-16.78</v>
      </c>
      <c r="I21" s="5" t="n">
        <v>3.8</v>
      </c>
      <c r="J21" s="5" t="n">
        <v>2.35</v>
      </c>
      <c r="K21" s="5" t="n">
        <v>-1.45</v>
      </c>
      <c r="L21" s="5" t="n">
        <v>2.53</v>
      </c>
      <c r="M21" s="5" t="n">
        <v>0.8</v>
      </c>
      <c r="N21" s="5" t="n">
        <v>19.77</v>
      </c>
      <c r="O21" s="5" t="n">
        <v>17.37</v>
      </c>
      <c r="P21" s="5" t="n">
        <v>18.96</v>
      </c>
      <c r="Q21" s="5" t="n">
        <v>2483.83</v>
      </c>
      <c r="R21" s="5" t="n">
        <v>0.85</v>
      </c>
      <c r="S21" s="5" t="n">
        <v>2.01</v>
      </c>
      <c r="T21" s="5" t="n">
        <v>22.2</v>
      </c>
      <c r="U21" s="5" t="n">
        <v>26.26</v>
      </c>
      <c r="V21" s="5" t="n">
        <v>54.68</v>
      </c>
      <c r="W21" s="5" t="n">
        <v>32.1</v>
      </c>
      <c r="X21" s="5" t="n">
        <v>3.86</v>
      </c>
      <c r="Y21" s="5" t="n">
        <v>62.31</v>
      </c>
      <c r="Z21" s="5" t="n">
        <v>1.26</v>
      </c>
      <c r="AA21" s="5" t="n">
        <v>-3.95</v>
      </c>
      <c r="AB21" s="5" t="n">
        <v>-1.69</v>
      </c>
      <c r="AC21" s="5" t="n">
        <v/>
      </c>
      <c r="AD21" s="5" t="n">
        <v>4.72</v>
      </c>
      <c r="AE21" s="5" t="n">
        <v>54.25</v>
      </c>
    </row>
    <row r="22">
      <c r="A22" s="2" t="inlineStr">
        <is>
          <t>2025-09-25 11:54:08</t>
        </is>
      </c>
      <c r="B22" s="3" t="n">
        <v>83.94</v>
      </c>
      <c r="C22" s="3" t="n">
        <v>104.85</v>
      </c>
      <c r="D22" s="3" t="n">
        <v>1.25</v>
      </c>
      <c r="E22" s="3" t="n">
        <v>151.81</v>
      </c>
      <c r="F22" s="3" t="n">
        <v>181.61</v>
      </c>
      <c r="G22" s="3" t="n">
        <v>1.55</v>
      </c>
      <c r="H22" s="3" t="n">
        <v>-15.23</v>
      </c>
      <c r="I22" s="3" t="n">
        <v>5.6</v>
      </c>
      <c r="J22" s="3" t="n">
        <v>4.96</v>
      </c>
      <c r="K22" s="3" t="n">
        <v>-0.64</v>
      </c>
      <c r="L22" s="3" t="n">
        <v>5.03</v>
      </c>
      <c r="M22" s="3" t="n">
        <v>-0.4</v>
      </c>
      <c r="N22" s="3" t="n">
        <v>19.06</v>
      </c>
      <c r="O22" s="3" t="n">
        <v>17.05</v>
      </c>
      <c r="P22" s="3" t="n">
        <v>19.49</v>
      </c>
      <c r="Q22" s="3" t="n">
        <v>2095.01</v>
      </c>
      <c r="R22" s="3" t="n">
        <v>2.02</v>
      </c>
      <c r="S22" s="3" t="n">
        <v>4.12</v>
      </c>
      <c r="T22" s="3" t="n">
        <v>44.04</v>
      </c>
      <c r="U22" s="3" t="n">
        <v>53.44</v>
      </c>
      <c r="V22" s="3" t="n">
        <v>50.47</v>
      </c>
      <c r="W22" s="3" t="n">
        <v>29.63</v>
      </c>
      <c r="X22" s="3" t="n">
        <v>5.1</v>
      </c>
      <c r="Y22" s="3" t="n">
        <v>67.23</v>
      </c>
      <c r="Z22" s="3" t="n">
        <v>1.19</v>
      </c>
      <c r="AA22" s="3" t="n">
        <v>-1.75</v>
      </c>
      <c r="AB22" s="3" t="n">
        <v>-0.47</v>
      </c>
      <c r="AC22" s="3" t="n">
        <v/>
      </c>
      <c r="AD22" s="3" t="n">
        <v>4.48</v>
      </c>
      <c r="AE22" s="3" t="n">
        <v>55.07</v>
      </c>
    </row>
    <row r="23">
      <c r="A23" s="4" t="inlineStr">
        <is>
          <t>2025-09-25 11:57:10</t>
        </is>
      </c>
      <c r="B23" s="5" t="n">
        <v>83.14</v>
      </c>
      <c r="C23" s="5" t="n">
        <v>118.41</v>
      </c>
      <c r="D23" s="5" t="n">
        <v>1.42</v>
      </c>
      <c r="E23" s="5" t="n">
        <v>176.9</v>
      </c>
      <c r="F23" s="5" t="n">
        <v>194.81</v>
      </c>
      <c r="G23" s="5" t="n">
        <v>0.67</v>
      </c>
      <c r="H23" s="5" t="n">
        <v>-16.89</v>
      </c>
      <c r="I23" s="5" t="n">
        <v>4.1</v>
      </c>
      <c r="J23" s="5" t="n">
        <v>0.38</v>
      </c>
      <c r="K23" s="5" t="n">
        <v>-3.72</v>
      </c>
      <c r="L23" s="5" t="n">
        <v>0.98</v>
      </c>
      <c r="M23" s="5" t="n">
        <v>-3.1</v>
      </c>
      <c r="N23" s="5" t="n">
        <v>17.75</v>
      </c>
      <c r="O23" s="5" t="n">
        <v>14.57</v>
      </c>
      <c r="P23" s="5" t="n">
        <v>21.21</v>
      </c>
      <c r="Q23" s="5" t="n">
        <v>3799</v>
      </c>
      <c r="R23" s="5" t="n">
        <v>-3.55</v>
      </c>
      <c r="S23" s="5" t="n">
        <v>-14.16</v>
      </c>
      <c r="T23" s="5" t="n">
        <v>-5.11</v>
      </c>
      <c r="U23" s="5" t="n">
        <v>-6.83</v>
      </c>
      <c r="V23" s="5" t="n">
        <v>71.3</v>
      </c>
      <c r="W23" s="5" t="n">
        <v>38.18</v>
      </c>
      <c r="X23" s="5" t="n">
        <v>2.12</v>
      </c>
      <c r="Y23" s="5" t="n">
        <v>57.73</v>
      </c>
      <c r="Z23" s="5" t="n">
        <v>1.41</v>
      </c>
      <c r="AA23" s="5" t="n">
        <v>-9.83</v>
      </c>
      <c r="AB23" s="5" t="n">
        <v>3.58</v>
      </c>
      <c r="AC23" s="5" t="n">
        <v/>
      </c>
      <c r="AD23" s="5" t="n">
        <v>5.59</v>
      </c>
      <c r="AE23" s="5" t="n">
        <v>57.51</v>
      </c>
    </row>
    <row r="24">
      <c r="A24" s="2" t="inlineStr">
        <is>
          <t>2025-09-25 11:54:43</t>
        </is>
      </c>
      <c r="B24" s="3" t="n">
        <v>84.18000000000001</v>
      </c>
      <c r="C24" s="3" t="n">
        <v>116.88</v>
      </c>
      <c r="D24" s="3" t="n">
        <v>1.39</v>
      </c>
      <c r="E24" s="3" t="n">
        <v>172.99</v>
      </c>
      <c r="F24" s="3" t="n">
        <v>190.77</v>
      </c>
      <c r="G24" s="3" t="n">
        <v>0.05</v>
      </c>
      <c r="H24" s="3" t="n">
        <v>-27.12</v>
      </c>
      <c r="I24" s="3" t="n">
        <v>3.6</v>
      </c>
      <c r="J24" s="3" t="n">
        <v>-2.96</v>
      </c>
      <c r="K24" s="3" t="n">
        <v>-6.56</v>
      </c>
      <c r="L24" s="3" t="n">
        <v>-1.83</v>
      </c>
      <c r="M24" s="3" t="n">
        <v>-1.6</v>
      </c>
      <c r="N24" s="3" t="n">
        <v>17.77</v>
      </c>
      <c r="O24" s="3" t="n">
        <v>14.6</v>
      </c>
      <c r="P24" s="3" t="n">
        <v>20.52</v>
      </c>
      <c r="Q24" s="3" t="n">
        <v>3889</v>
      </c>
      <c r="R24" s="3" t="n">
        <v>-5.93</v>
      </c>
      <c r="S24" s="3" t="n">
        <v>-22.92</v>
      </c>
      <c r="T24" s="3" t="n">
        <v>-39.47</v>
      </c>
      <c r="U24" s="3" t="n">
        <v>-45.5</v>
      </c>
      <c r="V24" s="3" t="n">
        <v>69.27</v>
      </c>
      <c r="W24" s="3" t="n">
        <v>37.88</v>
      </c>
      <c r="X24" s="3" t="n">
        <v>2.09</v>
      </c>
      <c r="Y24" s="3" t="n">
        <v>54.74</v>
      </c>
      <c r="Z24" s="3" t="n">
        <v>1.28</v>
      </c>
      <c r="AA24" s="3" t="n">
        <v>-18.11</v>
      </c>
      <c r="AB24" s="3" t="n">
        <v>1.1</v>
      </c>
      <c r="AC24" s="3" t="n">
        <v/>
      </c>
      <c r="AD24" s="3" t="n">
        <v>5.51</v>
      </c>
      <c r="AE24" s="3" t="n">
        <v>57.7</v>
      </c>
    </row>
    <row r="25">
      <c r="A25" s="4" t="inlineStr">
        <is>
          <t>2025-09-25 11:55:01</t>
        </is>
      </c>
      <c r="B25" s="5" t="n">
        <v>84.91</v>
      </c>
      <c r="C25" s="5" t="n">
        <v>111.76</v>
      </c>
      <c r="D25" s="5" t="n">
        <v>1.32</v>
      </c>
      <c r="E25" s="5" t="n">
        <v>166.74</v>
      </c>
      <c r="F25" s="5" t="n">
        <v>184.54</v>
      </c>
      <c r="G25" s="5" t="n">
        <v>2.34</v>
      </c>
      <c r="H25" s="5" t="n">
        <v>-25.28</v>
      </c>
      <c r="I25" s="5" t="n">
        <v>3</v>
      </c>
      <c r="J25" s="5" t="n">
        <v>-0.12</v>
      </c>
      <c r="K25" s="5" t="n">
        <v>-3.12</v>
      </c>
      <c r="L25" s="5" t="n">
        <v>0.37</v>
      </c>
      <c r="M25" s="5" t="n">
        <v>-1.6</v>
      </c>
      <c r="N25" s="5" t="n">
        <v>20.23</v>
      </c>
      <c r="O25" s="5" t="n">
        <v>17.08</v>
      </c>
      <c r="P25" s="5" t="n">
        <v>22.17</v>
      </c>
      <c r="Q25" s="5" t="n">
        <v>3536.25</v>
      </c>
      <c r="R25" s="5" t="n">
        <v>-0.75</v>
      </c>
      <c r="S25" s="5" t="n">
        <v>-2.63</v>
      </c>
      <c r="T25" s="5" t="n">
        <v>0.61</v>
      </c>
      <c r="U25" s="5" t="n">
        <v>0.45</v>
      </c>
      <c r="V25" s="5" t="n">
        <v>72.25</v>
      </c>
      <c r="W25" s="5" t="n">
        <v>38.98</v>
      </c>
      <c r="X25" s="5" t="n">
        <v>1.8</v>
      </c>
      <c r="Y25" s="5" t="n">
        <v>61.3</v>
      </c>
      <c r="Z25" s="5" t="n">
        <v>1.26</v>
      </c>
      <c r="AA25" s="5" t="n">
        <v>-7.89</v>
      </c>
      <c r="AB25" s="5" t="n">
        <v>0.91</v>
      </c>
      <c r="AC25" s="5" t="n">
        <v/>
      </c>
      <c r="AD25" s="5" t="n">
        <v>5.47</v>
      </c>
      <c r="AE25" s="5" t="n">
        <v>57.19</v>
      </c>
    </row>
    <row r="26">
      <c r="A26" s="2" t="inlineStr">
        <is>
          <t>2025-09-25 11:56:37</t>
        </is>
      </c>
      <c r="B26" s="3" t="n">
        <v>84.2</v>
      </c>
      <c r="C26" s="3" t="n">
        <v>105.77</v>
      </c>
      <c r="D26" s="3" t="n">
        <v>1.26</v>
      </c>
      <c r="E26" s="3" t="n">
        <v>154.83</v>
      </c>
      <c r="F26" s="3" t="n">
        <v>183.11</v>
      </c>
      <c r="G26" s="3" t="n">
        <v>4.19</v>
      </c>
      <c r="H26" s="3" t="n">
        <v>-19.12</v>
      </c>
      <c r="I26" s="3" t="n">
        <v>4.6</v>
      </c>
      <c r="J26" s="3" t="n">
        <v>1.98</v>
      </c>
      <c r="K26" s="3" t="n">
        <v>-2.62</v>
      </c>
      <c r="L26" s="3" t="n">
        <v>2.27</v>
      </c>
      <c r="M26" s="3" t="n">
        <v>-0.6</v>
      </c>
      <c r="N26" s="3" t="n">
        <v>19.18</v>
      </c>
      <c r="O26" s="3" t="n">
        <v>17.06</v>
      </c>
      <c r="P26" s="3" t="n">
        <v>19.99</v>
      </c>
      <c r="Q26" s="3" t="n">
        <v>2238.51</v>
      </c>
      <c r="R26" s="3" t="n">
        <v>-2.12</v>
      </c>
      <c r="S26" s="3" t="n">
        <v>-4.71</v>
      </c>
      <c r="T26" s="3" t="n">
        <v>13.71</v>
      </c>
      <c r="U26" s="3" t="n">
        <v>15.41</v>
      </c>
      <c r="V26" s="3" t="n">
        <v>52.92</v>
      </c>
      <c r="W26" s="3" t="n">
        <v>30.64</v>
      </c>
      <c r="X26" s="3" t="n">
        <v>3.97</v>
      </c>
      <c r="Y26" s="3" t="n">
        <v>67.08</v>
      </c>
      <c r="Z26" s="3" t="n">
        <v>1.21</v>
      </c>
      <c r="AA26" s="3" t="n">
        <v>-7.11</v>
      </c>
      <c r="AB26" s="3" t="n">
        <v>-0.24</v>
      </c>
      <c r="AC26" s="3" t="n">
        <v/>
      </c>
      <c r="AD26" s="3" t="n">
        <v>4.62</v>
      </c>
      <c r="AE26" s="3" t="n">
        <v>57.04</v>
      </c>
    </row>
    <row r="27">
      <c r="A27" s="4" t="inlineStr">
        <is>
          <t>2025-09-25 11:55:43</t>
        </is>
      </c>
      <c r="B27" s="5" t="n">
        <v>84.41</v>
      </c>
      <c r="C27" s="5" t="n">
        <v>109.28</v>
      </c>
      <c r="D27" s="5" t="n">
        <v>1.29</v>
      </c>
      <c r="E27" s="5" t="n">
        <v>164.75</v>
      </c>
      <c r="F27" s="5" t="n">
        <v>187.75</v>
      </c>
      <c r="G27" s="5" t="n">
        <v>4.28</v>
      </c>
      <c r="H27" s="5" t="n">
        <v>-18.66</v>
      </c>
      <c r="I27" s="5" t="n">
        <v>3.2</v>
      </c>
      <c r="J27" s="5" t="n">
        <v>3.02</v>
      </c>
      <c r="K27" s="5" t="n">
        <v>-0.18</v>
      </c>
      <c r="L27" s="5" t="n">
        <v>3.04</v>
      </c>
      <c r="M27" s="5" t="n">
        <v>0</v>
      </c>
      <c r="N27" s="5" t="n">
        <v>20.07</v>
      </c>
      <c r="O27" s="5" t="n">
        <v>17.58</v>
      </c>
      <c r="P27" s="5" t="n">
        <v>20.01</v>
      </c>
      <c r="Q27" s="5" t="n">
        <v>2705.91</v>
      </c>
      <c r="R27" s="5" t="n">
        <v>5.51</v>
      </c>
      <c r="S27" s="5" t="n">
        <v>15.97</v>
      </c>
      <c r="T27" s="5" t="n">
        <v>42.13</v>
      </c>
      <c r="U27" s="5" t="n">
        <v>49.96</v>
      </c>
      <c r="V27" s="5" t="n">
        <v>64.28</v>
      </c>
      <c r="W27" s="5" t="n">
        <v>35.09</v>
      </c>
      <c r="X27" s="5" t="n">
        <v>2.91</v>
      </c>
      <c r="Y27" s="5" t="n">
        <v>60.42</v>
      </c>
      <c r="Z27" s="5" t="n">
        <v>1.25</v>
      </c>
      <c r="AA27" s="5" t="n">
        <v>-0.45</v>
      </c>
      <c r="AB27" s="5" t="n">
        <v>-0.87</v>
      </c>
      <c r="AC27" s="5" t="n">
        <v/>
      </c>
      <c r="AD27" s="5" t="n">
        <v>5.13</v>
      </c>
      <c r="AE27" s="5" t="n">
        <v>55.89</v>
      </c>
    </row>
    <row r="28">
      <c r="A28" s="2" t="inlineStr">
        <is>
          <t>2025-09-25 11:55:58</t>
        </is>
      </c>
      <c r="B28" s="3" t="n">
        <v>83.27</v>
      </c>
      <c r="C28" s="3" t="n">
        <v>101.85</v>
      </c>
      <c r="D28" s="3" t="n">
        <v>1.22</v>
      </c>
      <c r="E28" s="3" t="n">
        <v>144.44</v>
      </c>
      <c r="F28" s="3" t="n">
        <v>173.86</v>
      </c>
      <c r="G28" s="3" t="n">
        <v>4.5</v>
      </c>
      <c r="H28" s="3" t="n">
        <v>-17.15</v>
      </c>
      <c r="I28" s="3" t="n">
        <v>4.6</v>
      </c>
      <c r="J28" s="3" t="n">
        <v>4.37</v>
      </c>
      <c r="K28" s="3" t="n">
        <v>-0.23</v>
      </c>
      <c r="L28" s="3" t="n">
        <v>4.4</v>
      </c>
      <c r="M28" s="3" t="n">
        <v>1</v>
      </c>
      <c r="N28" s="3" t="n">
        <v>19.1</v>
      </c>
      <c r="O28" s="3" t="n">
        <v>16.94</v>
      </c>
      <c r="P28" s="3" t="n">
        <v>18.17</v>
      </c>
      <c r="Q28" s="3" t="n">
        <v>2182.23</v>
      </c>
      <c r="R28" s="3" t="n">
        <v>3.47</v>
      </c>
      <c r="S28" s="3" t="n">
        <v>6.69</v>
      </c>
      <c r="T28" s="3" t="n">
        <v>39.92</v>
      </c>
      <c r="U28" s="3" t="n">
        <v>49.33</v>
      </c>
      <c r="V28" s="3" t="n">
        <v>47.29</v>
      </c>
      <c r="W28" s="3" t="n">
        <v>29.14</v>
      </c>
      <c r="X28" s="3" t="n">
        <v>4.81</v>
      </c>
      <c r="Y28" s="3" t="n">
        <v>63.42</v>
      </c>
      <c r="Z28" s="3" t="n">
        <v>1.22</v>
      </c>
      <c r="AA28" s="3" t="n">
        <v>-0.86</v>
      </c>
      <c r="AB28" s="3" t="n">
        <v>-1.73</v>
      </c>
      <c r="AC28" s="3" t="n">
        <v/>
      </c>
      <c r="AD28" s="3" t="n">
        <v>4.34</v>
      </c>
      <c r="AE28" s="3" t="n">
        <v>55.15</v>
      </c>
    </row>
    <row r="29">
      <c r="A29" s="4" t="inlineStr">
        <is>
          <t>2025-09-25 11:58:50</t>
        </is>
      </c>
      <c r="B29" s="5" t="n">
        <v>85.09999999999999</v>
      </c>
      <c r="C29" s="5" t="n">
        <v>106.59</v>
      </c>
      <c r="D29" s="5" t="n">
        <v>1.25</v>
      </c>
      <c r="E29" s="5" t="n">
        <v>156.31</v>
      </c>
      <c r="F29" s="5" t="n">
        <v>185.79</v>
      </c>
      <c r="G29" s="5" t="n">
        <v>3.21</v>
      </c>
      <c r="H29" s="5" t="n">
        <v>-14.97</v>
      </c>
      <c r="I29" s="5" t="n">
        <v>4.8</v>
      </c>
      <c r="J29" s="5" t="n">
        <v>3.63</v>
      </c>
      <c r="K29" s="5" t="n">
        <v>-1.17</v>
      </c>
      <c r="L29" s="5" t="n">
        <v>3.77</v>
      </c>
      <c r="M29" s="5" t="n">
        <v>-0.6</v>
      </c>
      <c r="N29" s="5" t="n">
        <v>19.07</v>
      </c>
      <c r="O29" s="5" t="n">
        <v>17.09</v>
      </c>
      <c r="P29" s="5" t="n">
        <v>19.75</v>
      </c>
      <c r="Q29" s="5" t="n">
        <v>2102.49</v>
      </c>
      <c r="R29" s="5" t="n">
        <v>-0.07000000000000001</v>
      </c>
      <c r="S29" s="5" t="n">
        <v>-0.15</v>
      </c>
      <c r="T29" s="5" t="n">
        <v>30.69</v>
      </c>
      <c r="U29" s="5" t="n">
        <v>36.45</v>
      </c>
      <c r="V29" s="5" t="n">
        <v>52.74</v>
      </c>
      <c r="W29" s="5" t="n">
        <v>30.16</v>
      </c>
      <c r="X29" s="5" t="n">
        <v>4.32</v>
      </c>
      <c r="Y29" s="5" t="n">
        <v>68.29000000000001</v>
      </c>
      <c r="Z29" s="5" t="n">
        <v>1.14</v>
      </c>
      <c r="AA29" s="5" t="n">
        <v>-3.52</v>
      </c>
      <c r="AB29" s="5" t="n">
        <v>-0.31</v>
      </c>
      <c r="AC29" s="5" t="n">
        <v/>
      </c>
      <c r="AD29" s="5" t="n">
        <v>4.59</v>
      </c>
      <c r="AE29" s="5" t="n">
        <v>56.37</v>
      </c>
    </row>
    <row r="30">
      <c r="A30" s="2" t="inlineStr">
        <is>
          <t>2025-09-25 11:56:14</t>
        </is>
      </c>
      <c r="B30" s="3" t="n">
        <v>83.19</v>
      </c>
      <c r="C30" s="3" t="n">
        <v>100.08</v>
      </c>
      <c r="D30" s="3" t="n">
        <v>1.2</v>
      </c>
      <c r="E30" s="3" t="n">
        <v>140.31</v>
      </c>
      <c r="F30" s="3" t="n">
        <v>170.17</v>
      </c>
      <c r="G30" s="3" t="n">
        <v>3.75</v>
      </c>
      <c r="H30" s="3" t="n">
        <v>-24.64</v>
      </c>
      <c r="I30" s="3" t="n">
        <v>6.8</v>
      </c>
      <c r="J30" s="3" t="n">
        <v>3.22</v>
      </c>
      <c r="K30" s="3" t="n">
        <v>-3.58</v>
      </c>
      <c r="L30" s="3" t="n">
        <v>3.64</v>
      </c>
      <c r="M30" s="3" t="n">
        <v>0.6</v>
      </c>
      <c r="N30" s="3" t="n">
        <v>19.24</v>
      </c>
      <c r="O30" s="3" t="n">
        <v>17.15</v>
      </c>
      <c r="P30" s="3" t="n">
        <v>18.89</v>
      </c>
      <c r="Q30" s="3" t="n">
        <v>2116.22</v>
      </c>
      <c r="R30" s="3" t="n">
        <v>-2.96</v>
      </c>
      <c r="S30" s="3" t="n">
        <v>-5.31</v>
      </c>
      <c r="T30" s="3" t="n">
        <v>21.4</v>
      </c>
      <c r="U30" s="3" t="n">
        <v>24.9</v>
      </c>
      <c r="V30" s="3" t="n">
        <v>45.68</v>
      </c>
      <c r="W30" s="3" t="n">
        <v>28.74</v>
      </c>
      <c r="X30" s="3" t="n">
        <v>6.66</v>
      </c>
      <c r="Y30" s="3" t="n">
        <v>70.95999999999999</v>
      </c>
      <c r="Z30" s="3" t="n">
        <v>1.2</v>
      </c>
      <c r="AA30" s="3" t="n">
        <v>-10.28</v>
      </c>
      <c r="AB30" s="3" t="n">
        <v>-1.46</v>
      </c>
      <c r="AC30" s="3" t="n">
        <v/>
      </c>
      <c r="AD30" s="3" t="n">
        <v>4.24</v>
      </c>
      <c r="AE30" s="3" t="n">
        <v>54.71</v>
      </c>
    </row>
    <row r="31">
      <c r="A31" s="4" t="inlineStr">
        <is>
          <t>2025-09-25 11:59:27</t>
        </is>
      </c>
      <c r="B31" s="5" t="n">
        <v>84.01000000000001</v>
      </c>
      <c r="C31" s="5" t="n">
        <v>106.23</v>
      </c>
      <c r="D31" s="5" t="n">
        <v>1.26</v>
      </c>
      <c r="E31" s="5" t="n">
        <v>156.04</v>
      </c>
      <c r="F31" s="5" t="n">
        <v>183.53</v>
      </c>
      <c r="G31" s="5" t="n">
        <v>1.84</v>
      </c>
      <c r="H31" s="5" t="n">
        <v>-20.73</v>
      </c>
      <c r="I31" s="5" t="n">
        <v>3.8</v>
      </c>
      <c r="J31" s="5" t="n">
        <v>4.56</v>
      </c>
      <c r="K31" s="5" t="n">
        <v>0.76</v>
      </c>
      <c r="L31" s="5" t="n">
        <v>4.46</v>
      </c>
      <c r="M31" s="5" t="n">
        <v>-0.2</v>
      </c>
      <c r="N31" s="5" t="n">
        <v>19.31</v>
      </c>
      <c r="O31" s="5" t="n">
        <v>17.11</v>
      </c>
      <c r="P31" s="5" t="n">
        <v>19.58</v>
      </c>
      <c r="Q31" s="5" t="n">
        <v>2321</v>
      </c>
      <c r="R31" s="5" t="n">
        <v>6.69</v>
      </c>
      <c r="S31" s="5" t="n">
        <v>15.54</v>
      </c>
      <c r="T31" s="5" t="n">
        <v>51.89</v>
      </c>
      <c r="U31" s="5" t="n">
        <v>63.56</v>
      </c>
      <c r="V31" s="5" t="n">
        <v>54.2</v>
      </c>
      <c r="W31" s="5" t="n">
        <v>31.18</v>
      </c>
      <c r="X31" s="5" t="n">
        <v>3.33</v>
      </c>
      <c r="Y31" s="5" t="n">
        <v>63.79</v>
      </c>
      <c r="Z31" s="5" t="n">
        <v>1.25</v>
      </c>
      <c r="AA31" s="5" t="n">
        <v>2.25</v>
      </c>
      <c r="AB31" s="5" t="n">
        <v>-0.59</v>
      </c>
      <c r="AC31" s="5" t="n">
        <v/>
      </c>
      <c r="AD31" s="5" t="n">
        <v>4.69</v>
      </c>
      <c r="AE31" s="5" t="n">
        <v>56.35</v>
      </c>
    </row>
    <row r="32">
      <c r="A32" s="2" t="inlineStr">
        <is>
          <t>2025-09-25 11:56:55</t>
        </is>
      </c>
      <c r="B32" s="3" t="n">
        <v>84.81</v>
      </c>
      <c r="C32" s="3" t="n">
        <v>98.36</v>
      </c>
      <c r="D32" s="3" t="n">
        <v>1.16</v>
      </c>
      <c r="E32" s="3" t="n">
        <v>134.49</v>
      </c>
      <c r="F32" s="3" t="n">
        <v>164.69</v>
      </c>
      <c r="G32" s="3" t="n">
        <v>6.96</v>
      </c>
      <c r="H32" s="3" t="n">
        <v>-30.22</v>
      </c>
      <c r="I32" s="3" t="n">
        <v>7.6</v>
      </c>
      <c r="J32" s="3" t="n">
        <v>5.64</v>
      </c>
      <c r="K32" s="3" t="n">
        <v>-1.96</v>
      </c>
      <c r="L32" s="3" t="n">
        <v>5.89</v>
      </c>
      <c r="M32" s="3" t="n">
        <v>0.6</v>
      </c>
      <c r="N32" s="3" t="n">
        <v>18.63</v>
      </c>
      <c r="O32" s="3" t="n">
        <v>16.36</v>
      </c>
      <c r="P32" s="3" t="n">
        <v>18.15</v>
      </c>
      <c r="Q32" s="3" t="n">
        <v>2236.48</v>
      </c>
      <c r="R32" s="3" t="n">
        <v>2.29</v>
      </c>
      <c r="S32" s="3" t="n">
        <v>3.93</v>
      </c>
      <c r="T32" s="3" t="n">
        <v>45.31</v>
      </c>
      <c r="U32" s="3" t="n">
        <v>56.33</v>
      </c>
      <c r="V32" s="3" t="n">
        <v>41.61</v>
      </c>
      <c r="W32" s="3" t="n">
        <v>27.56</v>
      </c>
      <c r="X32" s="3" t="n">
        <v>7.44</v>
      </c>
      <c r="Y32" s="3" t="n">
        <v>68.47</v>
      </c>
      <c r="Z32" s="3" t="n">
        <v>1.2</v>
      </c>
      <c r="AA32" s="3" t="n">
        <v>-5.69</v>
      </c>
      <c r="AB32" s="3" t="n">
        <v>-1.38</v>
      </c>
      <c r="AC32" s="3" t="n">
        <v/>
      </c>
      <c r="AD32" s="3" t="n">
        <v>4.08</v>
      </c>
      <c r="AE32" s="3" t="n">
        <v>55.73</v>
      </c>
    </row>
    <row r="33">
      <c r="A33" s="4" t="inlineStr">
        <is>
          <t>2025-09-25 11:58:05</t>
        </is>
      </c>
      <c r="B33" s="5" t="n">
        <v>84.81</v>
      </c>
      <c r="C33" s="5" t="n">
        <v>97.87</v>
      </c>
      <c r="D33" s="5" t="n">
        <v>1.15</v>
      </c>
      <c r="E33" s="5" t="n">
        <v>131.45</v>
      </c>
      <c r="F33" s="5" t="n">
        <v>162.92</v>
      </c>
      <c r="G33" s="5" t="n">
        <v>6.77</v>
      </c>
      <c r="H33" s="5" t="n">
        <v>-27.73</v>
      </c>
      <c r="I33" s="5" t="n">
        <v>6.2</v>
      </c>
      <c r="J33" s="5" t="n">
        <v>3.31</v>
      </c>
      <c r="K33" s="5" t="n">
        <v>-2.89</v>
      </c>
      <c r="L33" s="5" t="n">
        <v>3.72</v>
      </c>
      <c r="M33" s="5" t="n">
        <v>0.6</v>
      </c>
      <c r="N33" s="5" t="n">
        <v>18.04</v>
      </c>
      <c r="O33" s="5" t="n">
        <v>15.8</v>
      </c>
      <c r="P33" s="5" t="n">
        <v>17.59</v>
      </c>
      <c r="Q33" s="5" t="n">
        <v>2205.11</v>
      </c>
      <c r="R33" s="5" t="n">
        <v>-0.65</v>
      </c>
      <c r="S33" s="5" t="n">
        <v>-1.06</v>
      </c>
      <c r="T33" s="5" t="n">
        <v>24.5</v>
      </c>
      <c r="U33" s="5" t="n">
        <v>30.12</v>
      </c>
      <c r="V33" s="5" t="n">
        <v>38.76</v>
      </c>
      <c r="W33" s="5" t="n">
        <v>26.36</v>
      </c>
      <c r="X33" s="5" t="n">
        <v>6.19</v>
      </c>
      <c r="Y33" s="5" t="n">
        <v>73.65000000000001</v>
      </c>
      <c r="Z33" s="5" t="n">
        <v>1.2</v>
      </c>
      <c r="AA33" s="5" t="n">
        <v>-9.380000000000001</v>
      </c>
      <c r="AB33" s="5" t="n">
        <v>-1.5</v>
      </c>
      <c r="AC33" s="5" t="n">
        <v/>
      </c>
      <c r="AD33" s="5" t="n">
        <v>3.95</v>
      </c>
      <c r="AE33" s="5" t="n">
        <v>54.37</v>
      </c>
    </row>
    <row r="34">
      <c r="A34" s="2" t="inlineStr">
        <is>
          <t>2025-09-25 11:58:35</t>
        </is>
      </c>
      <c r="B34" s="3" t="n">
        <v>84.84999999999999</v>
      </c>
      <c r="C34" s="3" t="n">
        <v>110.99</v>
      </c>
      <c r="D34" s="3" t="n">
        <v>1.31</v>
      </c>
      <c r="E34" s="3" t="n">
        <v>167.3</v>
      </c>
      <c r="F34" s="3" t="n">
        <v>190.09</v>
      </c>
      <c r="G34" s="3" t="n">
        <v>0.3</v>
      </c>
      <c r="H34" s="3" t="n">
        <v>-17.61</v>
      </c>
      <c r="I34" s="3" t="n">
        <v>3.8</v>
      </c>
      <c r="J34" s="3" t="n">
        <v>3.99</v>
      </c>
      <c r="K34" s="3" t="n">
        <v>0.19</v>
      </c>
      <c r="L34" s="3" t="n">
        <v>3.97</v>
      </c>
      <c r="M34" s="3" t="n">
        <v>-1.2</v>
      </c>
      <c r="N34" s="3" t="n">
        <v>19.38</v>
      </c>
      <c r="O34" s="3" t="n">
        <v>16.82</v>
      </c>
      <c r="P34" s="3" t="n">
        <v>20.68</v>
      </c>
      <c r="Q34" s="3" t="n">
        <v>2822.16</v>
      </c>
      <c r="R34" s="3" t="n">
        <v>4.51</v>
      </c>
      <c r="S34" s="3" t="n">
        <v>13.74</v>
      </c>
      <c r="T34" s="3" t="n">
        <v>48.43</v>
      </c>
      <c r="U34" s="3" t="n">
        <v>56.67</v>
      </c>
      <c r="V34" s="3" t="n">
        <v>64.12</v>
      </c>
      <c r="W34" s="3" t="n">
        <v>35.01</v>
      </c>
      <c r="X34" s="3" t="n">
        <v>2.81</v>
      </c>
      <c r="Y34" s="3" t="n">
        <v>62.36</v>
      </c>
      <c r="Z34" s="3" t="n">
        <v>1.19</v>
      </c>
      <c r="AA34" s="3" t="n">
        <v>0.51</v>
      </c>
      <c r="AB34" s="3" t="n">
        <v>0.39</v>
      </c>
      <c r="AC34" s="3" t="n">
        <v/>
      </c>
      <c r="AD34" s="3" t="n">
        <v>5.18</v>
      </c>
      <c r="AE34" s="3" t="n">
        <v>55.24</v>
      </c>
    </row>
    <row r="35">
      <c r="A35" s="4" t="inlineStr">
        <is>
          <t>2025-09-25 11:59:05</t>
        </is>
      </c>
      <c r="B35" s="5" t="n">
        <v>83.88</v>
      </c>
      <c r="C35" s="5" t="n">
        <v>114.48</v>
      </c>
      <c r="D35" s="5" t="n">
        <v>1.36</v>
      </c>
      <c r="E35" s="5" t="n">
        <v>171.01</v>
      </c>
      <c r="F35" s="5" t="n">
        <v>190.3</v>
      </c>
      <c r="G35" s="5" t="n">
        <v>6.15</v>
      </c>
      <c r="H35" s="5" t="n">
        <v>-19.54</v>
      </c>
      <c r="I35" s="5" t="n">
        <v>5.1</v>
      </c>
      <c r="J35" s="5" t="n">
        <v>0.13</v>
      </c>
      <c r="K35" s="5" t="n">
        <v>-4.97</v>
      </c>
      <c r="L35" s="5" t="n">
        <v>0.84</v>
      </c>
      <c r="M35" s="5" t="n">
        <v>-3.3</v>
      </c>
      <c r="N35" s="5" t="n">
        <v>18.67</v>
      </c>
      <c r="O35" s="5" t="n">
        <v>15.69</v>
      </c>
      <c r="P35" s="5" t="n">
        <v>22.63</v>
      </c>
      <c r="Q35" s="5" t="n">
        <v>3475.76</v>
      </c>
      <c r="R35" s="5" t="n">
        <v>-6.37</v>
      </c>
      <c r="S35" s="5" t="n">
        <v>-22.83</v>
      </c>
      <c r="T35" s="5" t="n">
        <v>-15.34</v>
      </c>
      <c r="U35" s="5" t="n">
        <v>-19.25</v>
      </c>
      <c r="V35" s="5" t="n">
        <v>68.59</v>
      </c>
      <c r="W35" s="5" t="n">
        <v>37.24</v>
      </c>
      <c r="X35" s="5" t="n">
        <v>3.05</v>
      </c>
      <c r="Y35" s="5" t="n">
        <v>59.96</v>
      </c>
      <c r="Z35" s="5" t="n">
        <v>1.41</v>
      </c>
      <c r="AA35" s="5" t="n">
        <v>-12.13</v>
      </c>
      <c r="AB35" s="5" t="n">
        <v>3.86</v>
      </c>
      <c r="AC35" s="5" t="n">
        <v/>
      </c>
      <c r="AD35" s="5" t="n">
        <v>5.42</v>
      </c>
      <c r="AE35" s="5" t="n">
        <v>58.31</v>
      </c>
    </row>
    <row r="36">
      <c r="A36" s="2" t="inlineStr">
        <is>
          <t>2025-09-25 11:41:35</t>
        </is>
      </c>
      <c r="B36" s="3" t="n">
        <v>74.06999999999999</v>
      </c>
      <c r="C36" s="3" t="n">
        <v>103.26</v>
      </c>
      <c r="D36" s="3" t="n">
        <v>1.39</v>
      </c>
      <c r="E36" s="3" t="n">
        <v>148.22</v>
      </c>
      <c r="F36" s="3" t="n">
        <v>165.13</v>
      </c>
      <c r="G36" s="3" t="n">
        <v>5.7</v>
      </c>
      <c r="H36" s="3" t="n">
        <v>-6.38</v>
      </c>
      <c r="I36" s="3" t="n">
        <v>2.4</v>
      </c>
      <c r="J36" s="3" t="n">
        <v>-1.69</v>
      </c>
      <c r="K36" s="3" t="n">
        <v>-4.09</v>
      </c>
      <c r="L36" s="3" t="n">
        <v>-1.03</v>
      </c>
      <c r="M36" s="3" t="n">
        <v>-1.6</v>
      </c>
      <c r="N36" s="3" t="n">
        <v>22.18</v>
      </c>
      <c r="O36" s="3" t="n">
        <v>18.56</v>
      </c>
      <c r="P36" s="3" t="n">
        <v>24.12</v>
      </c>
      <c r="Q36" s="3" t="n">
        <v>3756.34</v>
      </c>
      <c r="R36" s="3" t="n">
        <v>-8.17</v>
      </c>
      <c r="S36" s="3" t="n">
        <v>-24.05</v>
      </c>
      <c r="T36" s="3" t="n">
        <v>-32.02</v>
      </c>
      <c r="U36" s="3" t="n">
        <v>-37.85</v>
      </c>
      <c r="V36" s="3" t="n">
        <v>65.83</v>
      </c>
      <c r="W36" s="3" t="n">
        <v>38.71</v>
      </c>
      <c r="X36" s="3" t="n">
        <v>1.49</v>
      </c>
      <c r="Y36" s="3" t="n">
        <v>64.41</v>
      </c>
      <c r="Z36" s="3" t="n">
        <v>1.3</v>
      </c>
      <c r="AA36" s="3" t="n">
        <v>-9.15</v>
      </c>
      <c r="AB36" s="3" t="n">
        <v>1.46</v>
      </c>
      <c r="AC36" s="3" t="n">
        <v/>
      </c>
      <c r="AD36" s="3" t="n">
        <v>5.13</v>
      </c>
      <c r="AE36" s="3" t="n">
        <v>65.81</v>
      </c>
    </row>
    <row r="37">
      <c r="A37" s="4" t="inlineStr">
        <is>
          <t>2025-09-25 11:41:57</t>
        </is>
      </c>
      <c r="B37" s="5" t="n">
        <v>75.12</v>
      </c>
      <c r="C37" s="5" t="n">
        <v>97.95</v>
      </c>
      <c r="D37" s="5" t="n">
        <v>1.3</v>
      </c>
      <c r="E37" s="5" t="n">
        <v>139.16</v>
      </c>
      <c r="F37" s="5" t="n">
        <v>161.61</v>
      </c>
      <c r="G37" s="5" t="n">
        <v>9.81</v>
      </c>
      <c r="H37" s="5" t="n">
        <v>-10.84</v>
      </c>
      <c r="I37" s="5" t="n">
        <v>2.6</v>
      </c>
      <c r="J37" s="5" t="n">
        <v>-0.24</v>
      </c>
      <c r="K37" s="5" t="n">
        <v>-2.84</v>
      </c>
      <c r="L37" s="5" t="n">
        <v>0.17</v>
      </c>
      <c r="M37" s="5" t="n">
        <v>0.2</v>
      </c>
      <c r="N37" s="5" t="n">
        <v>21.5</v>
      </c>
      <c r="O37" s="5" t="n">
        <v>18.62</v>
      </c>
      <c r="P37" s="5" t="n">
        <v>21.52</v>
      </c>
      <c r="Q37" s="5" t="n">
        <v>2826.4</v>
      </c>
      <c r="R37" s="5" t="n">
        <v>-6.18</v>
      </c>
      <c r="S37" s="5" t="n">
        <v>-13.8</v>
      </c>
      <c r="T37" s="5" t="n">
        <v>-12.58</v>
      </c>
      <c r="U37" s="5" t="n">
        <v>-16.53</v>
      </c>
      <c r="V37" s="5" t="n">
        <v>54.19</v>
      </c>
      <c r="W37" s="5" t="n">
        <v>34</v>
      </c>
      <c r="X37" s="5" t="n">
        <v>2.52</v>
      </c>
      <c r="Y37" s="5" t="n">
        <v>71.8</v>
      </c>
      <c r="Z37" s="5" t="n">
        <v>1.24</v>
      </c>
      <c r="AA37" s="5" t="n">
        <v>-7.05</v>
      </c>
      <c r="AB37" s="5" t="n">
        <v>-0.35</v>
      </c>
      <c r="AC37" s="5" t="n">
        <v/>
      </c>
      <c r="AD37" s="5" t="n">
        <v>4.62</v>
      </c>
      <c r="AE37" s="5" t="n">
        <v>68.55</v>
      </c>
    </row>
    <row r="38">
      <c r="A38" s="2" t="inlineStr">
        <is>
          <t>2025-09-25 11:42:20</t>
        </is>
      </c>
      <c r="B38" s="3" t="n">
        <v>74.28</v>
      </c>
      <c r="C38" s="3" t="n">
        <v>99.56999999999999</v>
      </c>
      <c r="D38" s="3" t="n">
        <v>1.34</v>
      </c>
      <c r="E38" s="3" t="n">
        <v>140.01</v>
      </c>
      <c r="F38" s="3" t="n">
        <v>158.99</v>
      </c>
      <c r="G38" s="3" t="n">
        <v>4.74</v>
      </c>
      <c r="H38" s="3" t="n">
        <v>-14.79</v>
      </c>
      <c r="I38" s="3" t="n">
        <v>1.4</v>
      </c>
      <c r="J38" s="3" t="n">
        <v>-0.47</v>
      </c>
      <c r="K38" s="3" t="n">
        <v>-1.87</v>
      </c>
      <c r="L38" s="3" t="n">
        <v>-0.16</v>
      </c>
      <c r="M38" s="3" t="n">
        <v>-2</v>
      </c>
      <c r="N38" s="3" t="n">
        <v>21.38</v>
      </c>
      <c r="O38" s="3" t="n">
        <v>17.76</v>
      </c>
      <c r="P38" s="3" t="n">
        <v>23.47</v>
      </c>
      <c r="Q38" s="3" t="n">
        <v>3582.06</v>
      </c>
      <c r="R38" s="3" t="n">
        <v>-3.75</v>
      </c>
      <c r="S38" s="3" t="n">
        <v>-9.619999999999999</v>
      </c>
      <c r="T38" s="3" t="n">
        <v>-10.8</v>
      </c>
      <c r="U38" s="3" t="n">
        <v>-13.35</v>
      </c>
      <c r="V38" s="3" t="n">
        <v>56.58</v>
      </c>
      <c r="W38" s="3" t="n">
        <v>35.82</v>
      </c>
      <c r="X38" s="3" t="n">
        <v>0.62</v>
      </c>
      <c r="Y38" s="3" t="n">
        <v>70.48999999999999</v>
      </c>
      <c r="Z38" s="3" t="n">
        <v>1.26</v>
      </c>
      <c r="AA38" s="3" t="n">
        <v>-4.37</v>
      </c>
      <c r="AB38" s="3" t="n">
        <v>1.69</v>
      </c>
      <c r="AC38" s="3" t="n">
        <v/>
      </c>
      <c r="AD38" s="3" t="n">
        <v>4.79</v>
      </c>
      <c r="AE38" s="3" t="n">
        <v>66.72</v>
      </c>
    </row>
    <row r="39">
      <c r="A39" s="4" t="inlineStr">
        <is>
          <t>2025-09-25 11:42:41</t>
        </is>
      </c>
      <c r="B39" s="5" t="n">
        <v>75.11</v>
      </c>
      <c r="C39" s="5" t="n">
        <v>103.46</v>
      </c>
      <c r="D39" s="5" t="n">
        <v>1.38</v>
      </c>
      <c r="E39" s="5" t="n">
        <v>147.96</v>
      </c>
      <c r="F39" s="5" t="n">
        <v>163.37</v>
      </c>
      <c r="G39" s="5" t="n">
        <v>2.34</v>
      </c>
      <c r="H39" s="5" t="n">
        <v>-8.16</v>
      </c>
      <c r="I39" s="5" t="n">
        <v>2.4</v>
      </c>
      <c r="J39" s="5" t="n">
        <v>3.23</v>
      </c>
      <c r="K39" s="5" t="n">
        <v>0.83</v>
      </c>
      <c r="L39" s="5" t="n">
        <v>3.08</v>
      </c>
      <c r="M39" s="5" t="n">
        <v>-2.2</v>
      </c>
      <c r="N39" s="5" t="n">
        <v>22.59</v>
      </c>
      <c r="O39" s="5" t="n">
        <v>18.64</v>
      </c>
      <c r="P39" s="5" t="n">
        <v>24.87</v>
      </c>
      <c r="Q39" s="5" t="n">
        <v>4055.24</v>
      </c>
      <c r="R39" s="5" t="n">
        <v>1.77</v>
      </c>
      <c r="S39" s="5" t="n">
        <v>5.41</v>
      </c>
      <c r="T39" s="5" t="n">
        <v>29.28</v>
      </c>
      <c r="U39" s="5" t="n">
        <v>32.77</v>
      </c>
      <c r="V39" s="5" t="n">
        <v>68</v>
      </c>
      <c r="W39" s="5" t="n">
        <v>39.92</v>
      </c>
      <c r="X39" s="5" t="n">
        <v>1.19</v>
      </c>
      <c r="Y39" s="5" t="n">
        <v>63.71</v>
      </c>
      <c r="Z39" s="5" t="n">
        <v>1.22</v>
      </c>
      <c r="AA39" s="5" t="n">
        <v>1.88</v>
      </c>
      <c r="AB39" s="5" t="n">
        <v>2.01</v>
      </c>
      <c r="AC39" s="5" t="n">
        <v/>
      </c>
      <c r="AD39" s="5" t="n">
        <v>5.22</v>
      </c>
      <c r="AE39" s="5" t="n">
        <v>65.65000000000001</v>
      </c>
    </row>
    <row r="40">
      <c r="A40" s="2" t="inlineStr">
        <is>
          <t>2025-09-25 12:00:30</t>
        </is>
      </c>
      <c r="B40" s="3" t="n">
        <v>76.68000000000001</v>
      </c>
      <c r="C40" s="3" t="n">
        <v>103.33</v>
      </c>
      <c r="D40" s="3" t="n">
        <v>1.35</v>
      </c>
      <c r="E40" s="3" t="n">
        <v>145.1</v>
      </c>
      <c r="F40" s="3" t="n">
        <v>157.9</v>
      </c>
      <c r="G40" s="3" t="n">
        <v>0.64</v>
      </c>
      <c r="H40" s="3" t="n">
        <v>-13.28</v>
      </c>
      <c r="I40" s="3" t="n">
        <v>0.2</v>
      </c>
      <c r="J40" s="3" t="n">
        <v>2.65</v>
      </c>
      <c r="K40" s="3" t="n">
        <v>2.45</v>
      </c>
      <c r="L40" s="3" t="n">
        <v>2.17</v>
      </c>
      <c r="M40" s="3" t="n">
        <v>-2.6</v>
      </c>
      <c r="N40" s="3" t="n">
        <v>23.52</v>
      </c>
      <c r="O40" s="3" t="n">
        <v>18.92</v>
      </c>
      <c r="P40" s="3" t="n">
        <v>26.39</v>
      </c>
      <c r="Q40" s="3" t="n">
        <v>4736.21</v>
      </c>
      <c r="R40" s="3" t="n">
        <v>4.88</v>
      </c>
      <c r="S40" s="3" t="n">
        <v>15.5</v>
      </c>
      <c r="T40" s="3" t="n">
        <v>31.95</v>
      </c>
      <c r="U40" s="3" t="n">
        <v>35.79</v>
      </c>
      <c r="V40" s="3" t="n">
        <v>70.45999999999999</v>
      </c>
      <c r="W40" s="3" t="n">
        <v>41.72</v>
      </c>
      <c r="X40" s="3" t="n">
        <v>-1.36</v>
      </c>
      <c r="Y40" s="3" t="n">
        <v>63.02</v>
      </c>
      <c r="Z40" s="3" t="n">
        <v>1.26</v>
      </c>
      <c r="AA40" s="3" t="n">
        <v>5.24</v>
      </c>
      <c r="AB40" s="3" t="n">
        <v>2.56</v>
      </c>
      <c r="AC40" s="3" t="n">
        <v/>
      </c>
      <c r="AD40" s="3" t="n">
        <v>5.3</v>
      </c>
      <c r="AE40" s="3" t="n">
        <v>64.29000000000001</v>
      </c>
    </row>
    <row r="41">
      <c r="A41" s="4" t="inlineStr">
        <is>
          <t>2025-09-25 11:42:57</t>
        </is>
      </c>
      <c r="B41" s="5" t="n">
        <v>75.14</v>
      </c>
      <c r="C41" s="5" t="n">
        <v>101.92</v>
      </c>
      <c r="D41" s="5" t="n">
        <v>1.36</v>
      </c>
      <c r="E41" s="5" t="n">
        <v>146.16</v>
      </c>
      <c r="F41" s="5" t="n">
        <v>162.16</v>
      </c>
      <c r="G41" s="5" t="n">
        <v>4.22</v>
      </c>
      <c r="H41" s="5" t="n">
        <v>-5.43</v>
      </c>
      <c r="I41" s="5" t="n">
        <v>3.6</v>
      </c>
      <c r="J41" s="5" t="n">
        <v>4.84</v>
      </c>
      <c r="K41" s="5" t="n">
        <v>1.25</v>
      </c>
      <c r="L41" s="5" t="n">
        <v>4.66</v>
      </c>
      <c r="M41" s="5" t="n">
        <v>-1.6</v>
      </c>
      <c r="N41" s="5" t="n">
        <v>23.11</v>
      </c>
      <c r="O41" s="5" t="n">
        <v>19.34</v>
      </c>
      <c r="P41" s="5" t="n">
        <v>24.93</v>
      </c>
      <c r="Q41" s="5" t="n">
        <v>3815</v>
      </c>
      <c r="R41" s="5" t="n">
        <v>2.32</v>
      </c>
      <c r="S41" s="5" t="n">
        <v>6.78</v>
      </c>
      <c r="T41" s="5" t="n">
        <v>42.34</v>
      </c>
      <c r="U41" s="5" t="n">
        <v>47.54</v>
      </c>
      <c r="V41" s="5" t="n">
        <v>67.8</v>
      </c>
      <c r="W41" s="5" t="n">
        <v>39.8</v>
      </c>
      <c r="X41" s="5" t="n">
        <v>2.87</v>
      </c>
      <c r="Y41" s="5" t="n">
        <v>67.11</v>
      </c>
      <c r="Z41" s="5" t="n">
        <v>1.24</v>
      </c>
      <c r="AA41" s="5" t="n">
        <v>2.51</v>
      </c>
      <c r="AB41" s="5" t="n">
        <v>1.5</v>
      </c>
      <c r="AC41" s="5" t="n">
        <v/>
      </c>
      <c r="AD41" s="5" t="n">
        <v>5.17</v>
      </c>
      <c r="AE41" s="5" t="n">
        <v>64.58</v>
      </c>
    </row>
    <row r="42">
      <c r="A42" s="2" t="inlineStr">
        <is>
          <t>2025-09-25 11:43:15</t>
        </is>
      </c>
      <c r="B42" s="3" t="n">
        <v>74.47</v>
      </c>
      <c r="C42" s="3" t="n">
        <v>101.16</v>
      </c>
      <c r="D42" s="3" t="n">
        <v>1.36</v>
      </c>
      <c r="E42" s="3" t="n">
        <v>144.08</v>
      </c>
      <c r="F42" s="3" t="n">
        <v>161.03</v>
      </c>
      <c r="G42" s="3" t="n">
        <v>3.92</v>
      </c>
      <c r="H42" s="3" t="n">
        <v>-1.72</v>
      </c>
      <c r="I42" s="3" t="n">
        <v>3</v>
      </c>
      <c r="J42" s="3" t="n">
        <v>0.1</v>
      </c>
      <c r="K42" s="3" t="n">
        <v>-2.9</v>
      </c>
      <c r="L42" s="3" t="n">
        <v>0.58</v>
      </c>
      <c r="M42" s="3" t="n">
        <v>-0.6</v>
      </c>
      <c r="N42" s="3" t="n">
        <v>22.51</v>
      </c>
      <c r="O42" s="3" t="n">
        <v>18.8</v>
      </c>
      <c r="P42" s="3" t="n">
        <v>23.45</v>
      </c>
      <c r="Q42" s="3" t="n">
        <v>3755.43</v>
      </c>
      <c r="R42" s="3" t="n">
        <v>-5.89</v>
      </c>
      <c r="S42" s="3" t="n">
        <v>-16.49</v>
      </c>
      <c r="T42" s="3" t="n">
        <v>-12.08</v>
      </c>
      <c r="U42" s="3" t="n">
        <v>-15.05</v>
      </c>
      <c r="V42" s="3" t="n">
        <v>63.79</v>
      </c>
      <c r="W42" s="3" t="n">
        <v>38.44</v>
      </c>
      <c r="X42" s="3" t="n">
        <v>2.55</v>
      </c>
      <c r="Y42" s="3" t="n">
        <v>67.95</v>
      </c>
      <c r="Z42" s="3" t="n">
        <v>1.28</v>
      </c>
      <c r="AA42" s="3" t="n">
        <v>-6.57</v>
      </c>
      <c r="AB42" s="3" t="n">
        <v>0.55</v>
      </c>
      <c r="AC42" s="3" t="n">
        <v/>
      </c>
      <c r="AD42" s="3" t="n">
        <v>5.04</v>
      </c>
      <c r="AE42" s="3" t="n">
        <v>63.34</v>
      </c>
    </row>
    <row r="43">
      <c r="A43" s="4" t="inlineStr">
        <is>
          <t>2025-09-25 11:48:14</t>
        </is>
      </c>
      <c r="B43" s="5" t="n">
        <v>74.15000000000001</v>
      </c>
      <c r="C43" s="5" t="n">
        <v>96.45999999999999</v>
      </c>
      <c r="D43" s="5" t="n">
        <v>1.3</v>
      </c>
      <c r="E43" s="5" t="n">
        <v>133.17</v>
      </c>
      <c r="F43" s="5" t="n">
        <v>159.56</v>
      </c>
      <c r="G43" s="5" t="n">
        <v>6.06</v>
      </c>
      <c r="H43" s="5" t="n">
        <v>-10.57</v>
      </c>
      <c r="I43" s="5" t="n">
        <v>4.8</v>
      </c>
      <c r="J43" s="5" t="n">
        <v>-0.23</v>
      </c>
      <c r="K43" s="5" t="n">
        <v>-5.03</v>
      </c>
      <c r="L43" s="5" t="n">
        <v>0.43</v>
      </c>
      <c r="M43" s="5" t="n">
        <v>-0.6</v>
      </c>
      <c r="N43" s="5" t="n">
        <v>20.17</v>
      </c>
      <c r="O43" s="5" t="n">
        <v>17.62</v>
      </c>
      <c r="P43" s="5" t="n">
        <v>21.42</v>
      </c>
      <c r="Q43" s="5" t="n">
        <v>2511</v>
      </c>
      <c r="R43" s="5" t="n">
        <v>-11.36</v>
      </c>
      <c r="S43" s="5" t="n">
        <v>-21.26</v>
      </c>
      <c r="T43" s="5" t="n">
        <v>-18.26</v>
      </c>
      <c r="U43" s="5" t="n">
        <v>-25.77</v>
      </c>
      <c r="V43" s="5" t="n">
        <v>45.8</v>
      </c>
      <c r="W43" s="5" t="n">
        <v>30.27</v>
      </c>
      <c r="X43" s="5" t="n">
        <v>4.51</v>
      </c>
      <c r="Y43" s="5" t="n">
        <v>73.18000000000001</v>
      </c>
      <c r="Z43" s="5" t="n">
        <v>1.28</v>
      </c>
      <c r="AA43" s="5" t="n">
        <v>-12.96</v>
      </c>
      <c r="AB43" s="5" t="n">
        <v>0.43</v>
      </c>
      <c r="AC43" s="5" t="n">
        <v/>
      </c>
      <c r="AD43" s="5" t="n">
        <v>4.26</v>
      </c>
      <c r="AE43" s="5" t="n">
        <v>64.84999999999999</v>
      </c>
    </row>
    <row r="44">
      <c r="A44" s="2" t="inlineStr">
        <is>
          <t>2025-09-25 11:45:47</t>
        </is>
      </c>
      <c r="B44" s="3" t="n">
        <v>73.66</v>
      </c>
      <c r="C44" s="3" t="n">
        <v>103.06</v>
      </c>
      <c r="D44" s="3" t="n">
        <v>1.4</v>
      </c>
      <c r="E44" s="3" t="n">
        <v>147.24</v>
      </c>
      <c r="F44" s="3" t="n">
        <v>162.97</v>
      </c>
      <c r="G44" s="3" t="n">
        <v>3.92</v>
      </c>
      <c r="H44" s="3" t="n">
        <v>-2.55</v>
      </c>
      <c r="I44" s="3" t="n">
        <v>1.8</v>
      </c>
      <c r="J44" s="3" t="n">
        <v>2.39</v>
      </c>
      <c r="K44" s="3" t="n">
        <v>0.59</v>
      </c>
      <c r="L44" s="3" t="n">
        <v>2.28</v>
      </c>
      <c r="M44" s="3" t="n">
        <v>-2.2</v>
      </c>
      <c r="N44" s="3" t="n">
        <v>22.48</v>
      </c>
      <c r="O44" s="3" t="n">
        <v>18.57</v>
      </c>
      <c r="P44" s="3" t="n">
        <v>24.81</v>
      </c>
      <c r="Q44" s="3" t="n">
        <v>4008.08</v>
      </c>
      <c r="R44" s="3" t="n">
        <v>1.29</v>
      </c>
      <c r="S44" s="3" t="n">
        <v>3.88</v>
      </c>
      <c r="T44" s="3" t="n">
        <v>21.43</v>
      </c>
      <c r="U44" s="3" t="n">
        <v>24.04</v>
      </c>
      <c r="V44" s="3" t="n">
        <v>66.90000000000001</v>
      </c>
      <c r="W44" s="3" t="n">
        <v>39.55</v>
      </c>
      <c r="X44" s="3" t="n">
        <v>0.5600000000000001</v>
      </c>
      <c r="Y44" s="3" t="n">
        <v>64.34</v>
      </c>
      <c r="Z44" s="3" t="n">
        <v>1.25</v>
      </c>
      <c r="AA44" s="3" t="n">
        <v>1.41</v>
      </c>
      <c r="AB44" s="3" t="n">
        <v>2.09</v>
      </c>
      <c r="AC44" s="3" t="n">
        <v/>
      </c>
      <c r="AD44" s="3" t="n">
        <v>5.18</v>
      </c>
      <c r="AE44" s="3" t="n">
        <v>65.47</v>
      </c>
    </row>
    <row r="45">
      <c r="A45" s="4" t="inlineStr">
        <is>
          <t>2025-09-25 11:46:07</t>
        </is>
      </c>
      <c r="B45" s="5" t="n">
        <v>75.05</v>
      </c>
      <c r="C45" s="5" t="n">
        <v>104.11</v>
      </c>
      <c r="D45" s="5" t="n">
        <v>1.39</v>
      </c>
      <c r="E45" s="5" t="n">
        <v>148.52</v>
      </c>
      <c r="F45" s="5" t="n">
        <v>162.49</v>
      </c>
      <c r="G45" s="5" t="n">
        <v>1.43</v>
      </c>
      <c r="H45" s="5" t="n">
        <v>-5.15</v>
      </c>
      <c r="I45" s="5" t="n">
        <v>1.6</v>
      </c>
      <c r="J45" s="5" t="n">
        <v>1.54</v>
      </c>
      <c r="K45" s="5" t="n">
        <v>-0.06</v>
      </c>
      <c r="L45" s="5" t="n">
        <v>1.54</v>
      </c>
      <c r="M45" s="5" t="n">
        <v>-2.6</v>
      </c>
      <c r="N45" s="5" t="n">
        <v>23.19</v>
      </c>
      <c r="O45" s="5" t="n">
        <v>19.01</v>
      </c>
      <c r="P45" s="5" t="n">
        <v>25.88</v>
      </c>
      <c r="Q45" s="5" t="n">
        <v>4322.27</v>
      </c>
      <c r="R45" s="5" t="n">
        <v>0.09</v>
      </c>
      <c r="S45" s="5" t="n">
        <v>0.29</v>
      </c>
      <c r="T45" s="5" t="n">
        <v>12.3</v>
      </c>
      <c r="U45" s="5" t="n">
        <v>13.47</v>
      </c>
      <c r="V45" s="5" t="n">
        <v>71.45999999999999</v>
      </c>
      <c r="W45" s="5" t="n">
        <v>41.35</v>
      </c>
      <c r="X45" s="5" t="n">
        <v>0.06</v>
      </c>
      <c r="Y45" s="5" t="n">
        <v>62.16</v>
      </c>
      <c r="Z45" s="5" t="n">
        <v>1.29</v>
      </c>
      <c r="AA45" s="5" t="n">
        <v>0.01</v>
      </c>
      <c r="AB45" s="5" t="n">
        <v>2.6</v>
      </c>
      <c r="AC45" s="5" t="n">
        <v/>
      </c>
      <c r="AD45" s="5" t="n">
        <v>5.34</v>
      </c>
      <c r="AE45" s="5" t="n">
        <v>64.5</v>
      </c>
    </row>
    <row r="46">
      <c r="A46" s="2" t="inlineStr">
        <is>
          <t>2025-09-25 12:01:06</t>
        </is>
      </c>
      <c r="B46" s="3" t="n">
        <v>75.19</v>
      </c>
      <c r="C46" s="3" t="n">
        <v>96.90000000000001</v>
      </c>
      <c r="D46" s="3" t="n">
        <v>1.29</v>
      </c>
      <c r="E46" s="3" t="n">
        <v>135.01</v>
      </c>
      <c r="F46" s="3" t="n">
        <v>156.88</v>
      </c>
      <c r="G46" s="3" t="n">
        <v>7.7</v>
      </c>
      <c r="H46" s="3" t="n">
        <v>-16</v>
      </c>
      <c r="I46" s="3" t="n">
        <v>2.8</v>
      </c>
      <c r="J46" s="3" t="n">
        <v>0.38</v>
      </c>
      <c r="K46" s="3" t="n">
        <v>-2.42</v>
      </c>
      <c r="L46" s="3" t="n">
        <v>0.74</v>
      </c>
      <c r="M46" s="3" t="n">
        <v>-1.4</v>
      </c>
      <c r="N46" s="3" t="n">
        <v>21.05</v>
      </c>
      <c r="O46" s="3" t="n">
        <v>17.85</v>
      </c>
      <c r="P46" s="3" t="n">
        <v>22.64</v>
      </c>
      <c r="Q46" s="3" t="n">
        <v>3101.5</v>
      </c>
      <c r="R46" s="3" t="n">
        <v>-4.69</v>
      </c>
      <c r="S46" s="3" t="n">
        <v>-10.4</v>
      </c>
      <c r="T46" s="3" t="n">
        <v>-5.17</v>
      </c>
      <c r="U46" s="3" t="n">
        <v>-7.45</v>
      </c>
      <c r="V46" s="3" t="n">
        <v>51.21</v>
      </c>
      <c r="W46" s="3" t="n">
        <v>33.51</v>
      </c>
      <c r="X46" s="3" t="n">
        <v>2.17</v>
      </c>
      <c r="Y46" s="3" t="n">
        <v>71.76000000000001</v>
      </c>
      <c r="Z46" s="3" t="n">
        <v>1.27</v>
      </c>
      <c r="AA46" s="3" t="n">
        <v>-5.68</v>
      </c>
      <c r="AB46" s="3" t="n">
        <v>1.18</v>
      </c>
      <c r="AC46" s="3" t="n">
        <v/>
      </c>
      <c r="AD46" s="3" t="n">
        <v>4.53</v>
      </c>
      <c r="AE46" s="3" t="n">
        <v>68.09999999999999</v>
      </c>
    </row>
    <row r="47">
      <c r="A47" s="4" t="inlineStr">
        <is>
          <t>2025-09-25 11:46:25</t>
        </is>
      </c>
      <c r="B47" s="5" t="n">
        <v>76.09</v>
      </c>
      <c r="C47" s="5" t="n">
        <v>96.78</v>
      </c>
      <c r="D47" s="5" t="n">
        <v>1.27</v>
      </c>
      <c r="E47" s="5" t="n">
        <v>136.74</v>
      </c>
      <c r="F47" s="5" t="n">
        <v>159.41</v>
      </c>
      <c r="G47" s="5" t="n">
        <v>7.86</v>
      </c>
      <c r="H47" s="5" t="n">
        <v>-5.85</v>
      </c>
      <c r="I47" s="5" t="n">
        <v>2</v>
      </c>
      <c r="J47" s="5" t="n">
        <v>1.38</v>
      </c>
      <c r="K47" s="5" t="n">
        <v>-0.62</v>
      </c>
      <c r="L47" s="5" t="n">
        <v>1.46</v>
      </c>
      <c r="M47" s="5" t="n">
        <v>-1.2</v>
      </c>
      <c r="N47" s="5" t="n">
        <v>21.57</v>
      </c>
      <c r="O47" s="5" t="n">
        <v>18.66</v>
      </c>
      <c r="P47" s="5" t="n">
        <v>22.92</v>
      </c>
      <c r="Q47" s="5" t="n">
        <v>2792.92</v>
      </c>
      <c r="R47" s="5" t="n">
        <v>-1.29</v>
      </c>
      <c r="S47" s="5" t="n">
        <v>-2.77</v>
      </c>
      <c r="T47" s="5" t="n">
        <v>7.68</v>
      </c>
      <c r="U47" s="5" t="n">
        <v>8.56</v>
      </c>
      <c r="V47" s="5" t="n">
        <v>52.82</v>
      </c>
      <c r="W47" s="5" t="n">
        <v>33.68</v>
      </c>
      <c r="X47" s="5" t="n">
        <v>1.43</v>
      </c>
      <c r="Y47" s="5" t="n">
        <v>69.81999999999999</v>
      </c>
      <c r="Z47" s="5" t="n">
        <v>1.31</v>
      </c>
      <c r="AA47" s="5" t="n">
        <v>-1.45</v>
      </c>
      <c r="AB47" s="5" t="n">
        <v>1.14</v>
      </c>
      <c r="AC47" s="5" t="n">
        <v/>
      </c>
      <c r="AD47" s="5" t="n">
        <v>4.56</v>
      </c>
      <c r="AE47" s="5" t="n">
        <v>65.29000000000001</v>
      </c>
    </row>
    <row r="48">
      <c r="A48" s="2" t="inlineStr">
        <is>
          <t>2025-09-25 11:46:42</t>
        </is>
      </c>
      <c r="B48" s="3" t="n">
        <v>74.19</v>
      </c>
      <c r="C48" s="3" t="n">
        <v>102.99</v>
      </c>
      <c r="D48" s="3" t="n">
        <v>1.39</v>
      </c>
      <c r="E48" s="3" t="n">
        <v>145.92</v>
      </c>
      <c r="F48" s="3" t="n">
        <v>159.47</v>
      </c>
      <c r="G48" s="3" t="n">
        <v>0.08</v>
      </c>
      <c r="H48" s="3" t="n">
        <v>-7.67</v>
      </c>
      <c r="I48" s="3" t="n">
        <v>3.4</v>
      </c>
      <c r="J48" s="3" t="n">
        <v>3.21</v>
      </c>
      <c r="K48" s="3" t="n">
        <v>-0.19</v>
      </c>
      <c r="L48" s="3" t="n">
        <v>3.26</v>
      </c>
      <c r="M48" s="3" t="n">
        <v>-1.4</v>
      </c>
      <c r="N48" s="3" t="n">
        <v>23.61</v>
      </c>
      <c r="O48" s="3" t="n">
        <v>19.27</v>
      </c>
      <c r="P48" s="3" t="n">
        <v>25.06</v>
      </c>
      <c r="Q48" s="3" t="n">
        <v>4434.43</v>
      </c>
      <c r="R48" s="3" t="n">
        <v>-0.42</v>
      </c>
      <c r="S48" s="3" t="n">
        <v>-1.32</v>
      </c>
      <c r="T48" s="3" t="n">
        <v>23.61</v>
      </c>
      <c r="U48" s="3" t="n">
        <v>25.71</v>
      </c>
      <c r="V48" s="3" t="n">
        <v>70.94</v>
      </c>
      <c r="W48" s="3" t="n">
        <v>41.55</v>
      </c>
      <c r="X48" s="3" t="n">
        <v>2.65</v>
      </c>
      <c r="Y48" s="3" t="n">
        <v>61.99</v>
      </c>
      <c r="Z48" s="3" t="n">
        <v>1.25</v>
      </c>
      <c r="AA48" s="3" t="n">
        <v>-0.61</v>
      </c>
      <c r="AB48" s="3" t="n">
        <v>1.26</v>
      </c>
      <c r="AC48" s="3" t="n">
        <v/>
      </c>
      <c r="AD48" s="3" t="n">
        <v>5.3</v>
      </c>
      <c r="AE48" s="3" t="n">
        <v>63.72</v>
      </c>
    </row>
    <row r="49">
      <c r="A49" s="4" t="inlineStr">
        <is>
          <t>2025-09-25 11:48:51</t>
        </is>
      </c>
      <c r="B49" s="5" t="n">
        <v>74.91</v>
      </c>
      <c r="C49" s="5" t="n">
        <v>102.45</v>
      </c>
      <c r="D49" s="5" t="n">
        <v>1.37</v>
      </c>
      <c r="E49" s="5" t="n">
        <v>145.84</v>
      </c>
      <c r="F49" s="5" t="n">
        <v>160.01</v>
      </c>
      <c r="G49" s="5" t="n">
        <v>1.81</v>
      </c>
      <c r="H49" s="5" t="n">
        <v>-11.15</v>
      </c>
      <c r="I49" s="5" t="n">
        <v>3.8</v>
      </c>
      <c r="J49" s="5" t="n">
        <v>2.59</v>
      </c>
      <c r="K49" s="5" t="n">
        <v>-1.21</v>
      </c>
      <c r="L49" s="5" t="n">
        <v>2.82</v>
      </c>
      <c r="M49" s="5" t="n">
        <v>-1.2</v>
      </c>
      <c r="N49" s="5" t="n">
        <v>23.7</v>
      </c>
      <c r="O49" s="5" t="n">
        <v>19.56</v>
      </c>
      <c r="P49" s="5" t="n">
        <v>25.07</v>
      </c>
      <c r="Q49" s="5" t="n">
        <v>4216.13</v>
      </c>
      <c r="R49" s="5" t="n">
        <v>-2.29</v>
      </c>
      <c r="S49" s="5" t="n">
        <v>-7</v>
      </c>
      <c r="T49" s="5" t="n">
        <v>14.53</v>
      </c>
      <c r="U49" s="5" t="n">
        <v>15.44</v>
      </c>
      <c r="V49" s="5" t="n">
        <v>70.7</v>
      </c>
      <c r="W49" s="5" t="n">
        <v>41.26</v>
      </c>
      <c r="X49" s="5" t="n">
        <v>3.15</v>
      </c>
      <c r="Y49" s="5" t="n">
        <v>64.61</v>
      </c>
      <c r="Z49" s="5" t="n">
        <v>1.25</v>
      </c>
      <c r="AA49" s="5" t="n">
        <v>-2.73</v>
      </c>
      <c r="AB49" s="5" t="n">
        <v>1.14</v>
      </c>
      <c r="AC49" s="5" t="n">
        <v/>
      </c>
      <c r="AD49" s="5" t="n">
        <v>5.28</v>
      </c>
      <c r="AE49" s="5" t="n">
        <v>63.87</v>
      </c>
    </row>
    <row r="50">
      <c r="A50" s="2" t="inlineStr">
        <is>
          <t>2025-09-25 11:47:07</t>
        </is>
      </c>
      <c r="B50" s="3" t="n">
        <v>75.13</v>
      </c>
      <c r="C50" s="3" t="n">
        <v>100.71</v>
      </c>
      <c r="D50" s="3" t="n">
        <v>1.34</v>
      </c>
      <c r="E50" s="3" t="n">
        <v>142.12</v>
      </c>
      <c r="F50" s="3" t="n">
        <v>157.48</v>
      </c>
      <c r="G50" s="3" t="n">
        <v>-0.06</v>
      </c>
      <c r="H50" s="3" t="n">
        <v>-15.53</v>
      </c>
      <c r="I50" s="3" t="n">
        <v>1.2</v>
      </c>
      <c r="J50" s="3" t="n">
        <v>0.7</v>
      </c>
      <c r="K50" s="3" t="n">
        <v>-0.5</v>
      </c>
      <c r="L50" s="3" t="n">
        <v>0.8</v>
      </c>
      <c r="M50" s="3" t="n">
        <v>-2.2</v>
      </c>
      <c r="N50" s="3" t="n">
        <v>23.05</v>
      </c>
      <c r="O50" s="3" t="n">
        <v>18.93</v>
      </c>
      <c r="P50" s="3" t="n">
        <v>25.44</v>
      </c>
      <c r="Q50" s="3" t="n">
        <v>4121.55</v>
      </c>
      <c r="R50" s="3" t="n">
        <v>-0.98</v>
      </c>
      <c r="S50" s="3" t="n">
        <v>-2.8</v>
      </c>
      <c r="T50" s="3" t="n">
        <v>3.14</v>
      </c>
      <c r="U50" s="3" t="n">
        <v>3.25</v>
      </c>
      <c r="V50" s="3" t="n">
        <v>64.87</v>
      </c>
      <c r="W50" s="3" t="n">
        <v>39.48</v>
      </c>
      <c r="X50" s="3" t="n">
        <v>-0.05</v>
      </c>
      <c r="Y50" s="3" t="n">
        <v>62.29</v>
      </c>
      <c r="Z50" s="3" t="n">
        <v>1.28</v>
      </c>
      <c r="AA50" s="3" t="n">
        <v>-1.23</v>
      </c>
      <c r="AB50" s="3" t="n">
        <v>2.24</v>
      </c>
      <c r="AC50" s="3" t="n">
        <v/>
      </c>
      <c r="AD50" s="3" t="n">
        <v>5.08</v>
      </c>
      <c r="AE50" s="3" t="n">
        <v>65.03</v>
      </c>
    </row>
    <row r="51">
      <c r="A51" s="4" t="inlineStr">
        <is>
          <t>2025-09-25 11:47:23</t>
        </is>
      </c>
      <c r="B51" s="5" t="n">
        <v>73.73</v>
      </c>
      <c r="C51" s="5" t="n">
        <v>100.27</v>
      </c>
      <c r="D51" s="5" t="n">
        <v>1.36</v>
      </c>
      <c r="E51" s="5" t="n">
        <v>140.35</v>
      </c>
      <c r="F51" s="5" t="n">
        <v>158.55</v>
      </c>
      <c r="G51" s="5" t="n">
        <v>1.15</v>
      </c>
      <c r="H51" s="5" t="n">
        <v>-14.99</v>
      </c>
      <c r="I51" s="5" t="n">
        <v>3.8</v>
      </c>
      <c r="J51" s="5" t="n">
        <v>-2.27</v>
      </c>
      <c r="K51" s="5" t="n">
        <v>-6.08</v>
      </c>
      <c r="L51" s="5" t="n">
        <v>-1.22</v>
      </c>
      <c r="M51" s="5" t="n">
        <v>-0.6</v>
      </c>
      <c r="N51" s="5" t="n">
        <v>21.59</v>
      </c>
      <c r="O51" s="5" t="n">
        <v>17.95</v>
      </c>
      <c r="P51" s="5" t="n">
        <v>22.96</v>
      </c>
      <c r="Q51" s="5" t="n">
        <v>3761</v>
      </c>
      <c r="R51" s="5" t="n">
        <v>-12.56</v>
      </c>
      <c r="S51" s="5" t="n">
        <v>-33.01</v>
      </c>
      <c r="T51" s="5" t="n">
        <v>-41.91</v>
      </c>
      <c r="U51" s="5" t="n">
        <v>-50.9</v>
      </c>
      <c r="V51" s="5" t="n">
        <v>57.81</v>
      </c>
      <c r="W51" s="5" t="n">
        <v>36.34</v>
      </c>
      <c r="X51" s="5" t="n">
        <v>3.4</v>
      </c>
      <c r="Y51" s="5" t="n">
        <v>68.81</v>
      </c>
      <c r="Z51" s="5" t="n">
        <v>1.29</v>
      </c>
      <c r="AA51" s="5" t="n">
        <v>-14.36</v>
      </c>
      <c r="AB51" s="5" t="n">
        <v>0.39</v>
      </c>
      <c r="AC51" s="5" t="n">
        <v/>
      </c>
      <c r="AD51" s="5" t="n">
        <v>4.83</v>
      </c>
      <c r="AE51" s="5" t="n">
        <v>64.41</v>
      </c>
    </row>
    <row r="52">
      <c r="A52" s="2" t="inlineStr">
        <is>
          <t>2025-09-25 12:03:40</t>
        </is>
      </c>
      <c r="B52" s="3" t="n">
        <v>75.15000000000001</v>
      </c>
      <c r="C52" s="3" t="n">
        <v>95.20999999999999</v>
      </c>
      <c r="D52" s="3" t="n">
        <v>1.27</v>
      </c>
      <c r="E52" s="3" t="n">
        <v>131.92</v>
      </c>
      <c r="F52" s="3" t="n">
        <v>155.04</v>
      </c>
      <c r="G52" s="3" t="n">
        <v>8.960000000000001</v>
      </c>
      <c r="H52" s="3" t="n">
        <v>-6.08</v>
      </c>
      <c r="I52" s="3" t="n">
        <v>2.4</v>
      </c>
      <c r="J52" s="3" t="n">
        <v>0.6899999999999999</v>
      </c>
      <c r="K52" s="3" t="n">
        <v>-1.71</v>
      </c>
      <c r="L52" s="3" t="n">
        <v>0.9399999999999999</v>
      </c>
      <c r="M52" s="3" t="n">
        <v>-0.8</v>
      </c>
      <c r="N52" s="3" t="n">
        <v>21.17</v>
      </c>
      <c r="O52" s="3" t="n">
        <v>18.15</v>
      </c>
      <c r="P52" s="3" t="n">
        <v>22.09</v>
      </c>
      <c r="Q52" s="3" t="n">
        <v>2865.88</v>
      </c>
      <c r="R52" s="3" t="n">
        <v>-3.67</v>
      </c>
      <c r="S52" s="3" t="n">
        <v>-7.46</v>
      </c>
      <c r="T52" s="3" t="n">
        <v>-0.97</v>
      </c>
      <c r="U52" s="3" t="n">
        <v>-2.28</v>
      </c>
      <c r="V52" s="3" t="n">
        <v>49.07</v>
      </c>
      <c r="W52" s="3" t="n">
        <v>32.63</v>
      </c>
      <c r="X52" s="3" t="n">
        <v>1.98</v>
      </c>
      <c r="Y52" s="3" t="n">
        <v>69.03</v>
      </c>
      <c r="Z52" s="3" t="n">
        <v>1.25</v>
      </c>
      <c r="AA52" s="3" t="n">
        <v>-4.16</v>
      </c>
      <c r="AB52" s="3" t="n">
        <v>0.63</v>
      </c>
      <c r="AC52" s="3" t="n">
        <v/>
      </c>
      <c r="AD52" s="3" t="n">
        <v>4.41</v>
      </c>
      <c r="AE52" s="3" t="n">
        <v>65.95999999999999</v>
      </c>
    </row>
    <row r="53">
      <c r="A53" s="4" t="inlineStr">
        <is>
          <t>2025-09-25 11:47:59</t>
        </is>
      </c>
      <c r="B53" s="5" t="n">
        <v>75.40000000000001</v>
      </c>
      <c r="C53" s="5" t="n">
        <v>99.8</v>
      </c>
      <c r="D53" s="5" t="n">
        <v>1.32</v>
      </c>
      <c r="E53" s="5" t="n">
        <v>143.41</v>
      </c>
      <c r="F53" s="5" t="n">
        <v>159.64</v>
      </c>
      <c r="G53" s="5" t="n">
        <v>7.5</v>
      </c>
      <c r="H53" s="5" t="n">
        <v>-5.79</v>
      </c>
      <c r="I53" s="5" t="n">
        <v>3.4</v>
      </c>
      <c r="J53" s="5" t="n">
        <v>4.24</v>
      </c>
      <c r="K53" s="5" t="n">
        <v>0.84</v>
      </c>
      <c r="L53" s="5" t="n">
        <v>4.1</v>
      </c>
      <c r="M53" s="5" t="n">
        <v>-0.4</v>
      </c>
      <c r="N53" s="5" t="n">
        <v>24.15</v>
      </c>
      <c r="O53" s="5" t="n">
        <v>20.54</v>
      </c>
      <c r="P53" s="5" t="n">
        <v>24.62</v>
      </c>
      <c r="Q53" s="5" t="n">
        <v>3581.22</v>
      </c>
      <c r="R53" s="5" t="n">
        <v>1.75</v>
      </c>
      <c r="S53" s="5" t="n">
        <v>4.82</v>
      </c>
      <c r="T53" s="5" t="n">
        <v>35.58</v>
      </c>
      <c r="U53" s="5" t="n">
        <v>40.02</v>
      </c>
      <c r="V53" s="5" t="n">
        <v>68.65000000000001</v>
      </c>
      <c r="W53" s="5" t="n">
        <v>40.19</v>
      </c>
      <c r="X53" s="5" t="n">
        <v>3.1</v>
      </c>
      <c r="Y53" s="5" t="n">
        <v>64.63</v>
      </c>
      <c r="Z53" s="5" t="n">
        <v>1.23</v>
      </c>
      <c r="AA53" s="5" t="n">
        <v>1.87</v>
      </c>
      <c r="AB53" s="5" t="n">
        <v>0.24</v>
      </c>
      <c r="AC53" s="5" t="n">
        <v/>
      </c>
      <c r="AD53" s="5" t="n">
        <v>5.14</v>
      </c>
      <c r="AE53" s="5" t="n">
        <v>67.05</v>
      </c>
    </row>
    <row r="54">
      <c r="A54" s="2" t="inlineStr">
        <is>
          <t>2025-09-25 12:02:56</t>
        </is>
      </c>
      <c r="B54" s="3" t="n">
        <v>75.81</v>
      </c>
      <c r="C54" s="3" t="n">
        <v>102.19</v>
      </c>
      <c r="D54" s="3" t="n">
        <v>1.35</v>
      </c>
      <c r="E54" s="3" t="n">
        <v>143.77</v>
      </c>
      <c r="F54" s="3" t="n">
        <v>157.11</v>
      </c>
      <c r="G54" s="3" t="n">
        <v>3.7</v>
      </c>
      <c r="H54" s="3" t="n">
        <v>-11.43</v>
      </c>
      <c r="I54" s="3" t="n">
        <v>-0.2</v>
      </c>
      <c r="J54" s="3" t="n">
        <v>2.79</v>
      </c>
      <c r="K54" s="3" t="n">
        <v>2.99</v>
      </c>
      <c r="L54" s="3" t="n">
        <v>2.21</v>
      </c>
      <c r="M54" s="3" t="n">
        <v>-2.4</v>
      </c>
      <c r="N54" s="3" t="n">
        <v>23.8</v>
      </c>
      <c r="O54" s="3" t="n">
        <v>19.36</v>
      </c>
      <c r="P54" s="3" t="n">
        <v>26.57</v>
      </c>
      <c r="Q54" s="3" t="n">
        <v>4536.57</v>
      </c>
      <c r="R54" s="3" t="n">
        <v>5.97</v>
      </c>
      <c r="S54" s="3" t="n">
        <v>18.3</v>
      </c>
      <c r="T54" s="3" t="n">
        <v>34.87</v>
      </c>
      <c r="U54" s="3" t="n">
        <v>39.37</v>
      </c>
      <c r="V54" s="3" t="n">
        <v>69.83</v>
      </c>
      <c r="W54" s="3" t="n">
        <v>41.45</v>
      </c>
      <c r="X54" s="3" t="n">
        <v>-1.84</v>
      </c>
      <c r="Y54" s="3" t="n">
        <v>61.54</v>
      </c>
      <c r="Z54" s="3" t="n">
        <v>1.27</v>
      </c>
      <c r="AA54" s="3" t="n">
        <v>6.45</v>
      </c>
      <c r="AB54" s="3" t="n">
        <v>2.44</v>
      </c>
      <c r="AC54" s="3" t="n">
        <v/>
      </c>
      <c r="AD54" s="3" t="n">
        <v>5.26</v>
      </c>
      <c r="AE54" s="3" t="n">
        <v>66.56</v>
      </c>
    </row>
    <row r="55">
      <c r="A55" s="4" t="inlineStr">
        <is>
          <t>2025-09-25 12:03:10</t>
        </is>
      </c>
      <c r="B55" s="5" t="n">
        <v>74.23999999999999</v>
      </c>
      <c r="C55" s="5" t="n">
        <v>89.38</v>
      </c>
      <c r="D55" s="5" t="n">
        <v>1.2</v>
      </c>
      <c r="E55" s="5" t="n">
        <v>119.01</v>
      </c>
      <c r="F55" s="5" t="n">
        <v>143.49</v>
      </c>
      <c r="G55" s="5" t="n">
        <v>7.53</v>
      </c>
      <c r="H55" s="5" t="n">
        <v>-22.05</v>
      </c>
      <c r="I55" s="5" t="n">
        <v>2.2</v>
      </c>
      <c r="J55" s="5" t="n">
        <v>0.8100000000000001</v>
      </c>
      <c r="K55" s="5" t="n">
        <v>-1.39</v>
      </c>
      <c r="L55" s="5" t="n">
        <v>1</v>
      </c>
      <c r="M55" s="5" t="n">
        <v>-0.4</v>
      </c>
      <c r="N55" s="5" t="n">
        <v>21.62</v>
      </c>
      <c r="O55" s="5" t="n">
        <v>18.61</v>
      </c>
      <c r="P55" s="5" t="n">
        <v>22.21</v>
      </c>
      <c r="Q55" s="5" t="n">
        <v>2676.23</v>
      </c>
      <c r="R55" s="5" t="n">
        <v>-2.48</v>
      </c>
      <c r="S55" s="5" t="n">
        <v>-4.04</v>
      </c>
      <c r="T55" s="5" t="n">
        <v>2.19</v>
      </c>
      <c r="U55" s="5" t="n">
        <v>1.91</v>
      </c>
      <c r="V55" s="5" t="n">
        <v>42.75</v>
      </c>
      <c r="W55" s="5" t="n">
        <v>30.96</v>
      </c>
      <c r="X55" s="5" t="n">
        <v>1.87</v>
      </c>
      <c r="Y55" s="5" t="n">
        <v>72.52</v>
      </c>
      <c r="Z55" s="5" t="n">
        <v>1.29</v>
      </c>
      <c r="AA55" s="5" t="n">
        <v>-3.19</v>
      </c>
      <c r="AB55" s="5" t="n">
        <v>0.35</v>
      </c>
      <c r="AC55" s="5" t="n">
        <v/>
      </c>
      <c r="AD55" s="5" t="n">
        <v>4.06</v>
      </c>
      <c r="AE55" s="5" t="n">
        <v>65.31999999999999</v>
      </c>
    </row>
    <row r="56">
      <c r="A56" s="2" t="inlineStr">
        <is>
          <t>2025-09-25 11:48:34</t>
        </is>
      </c>
      <c r="B56" s="3" t="n">
        <v>74.56</v>
      </c>
      <c r="C56" s="3" t="n">
        <v>89.04000000000001</v>
      </c>
      <c r="D56" s="3" t="n">
        <v>1.19</v>
      </c>
      <c r="E56" s="3" t="n">
        <v>113.57</v>
      </c>
      <c r="F56" s="3" t="n">
        <v>144.47</v>
      </c>
      <c r="G56" s="3" t="n">
        <v>7.6</v>
      </c>
      <c r="H56" s="3" t="n">
        <v>-16.16</v>
      </c>
      <c r="I56" s="3" t="n">
        <v>5.2</v>
      </c>
      <c r="J56" s="3" t="n">
        <v>1.86</v>
      </c>
      <c r="K56" s="3" t="n">
        <v>-3.34</v>
      </c>
      <c r="L56" s="3" t="n">
        <v>2.28</v>
      </c>
      <c r="M56" s="3" t="n">
        <v>0.4</v>
      </c>
      <c r="N56" s="3" t="n">
        <v>19.73</v>
      </c>
      <c r="O56" s="3" t="n">
        <v>17.45</v>
      </c>
      <c r="P56" s="3" t="n">
        <v>19.52</v>
      </c>
      <c r="Q56" s="3" t="n">
        <v>2047.88</v>
      </c>
      <c r="R56" s="3" t="n">
        <v>-8.27</v>
      </c>
      <c r="S56" s="3" t="n">
        <v>-10</v>
      </c>
      <c r="T56" s="3" t="n">
        <v>3.58</v>
      </c>
      <c r="U56" s="3" t="n">
        <v>1.97</v>
      </c>
      <c r="V56" s="3" t="n">
        <v>34.95</v>
      </c>
      <c r="W56" s="3" t="n">
        <v>26.37</v>
      </c>
      <c r="X56" s="3" t="n">
        <v>5.28</v>
      </c>
      <c r="Y56" s="3" t="n">
        <v>76</v>
      </c>
      <c r="Z56" s="3" t="n">
        <v>1.27</v>
      </c>
      <c r="AA56" s="3" t="n">
        <v>-9.5</v>
      </c>
      <c r="AB56" s="3" t="n">
        <v>-0.63</v>
      </c>
      <c r="AC56" s="3" t="n">
        <v/>
      </c>
      <c r="AD56" s="3" t="n">
        <v>3.62</v>
      </c>
      <c r="AE56" s="3" t="n">
        <v>64.14</v>
      </c>
    </row>
    <row r="57">
      <c r="A57" s="4" t="inlineStr">
        <is>
          <t>2025-09-25 11:49:20</t>
        </is>
      </c>
      <c r="B57" s="5" t="n">
        <v>75.41</v>
      </c>
      <c r="C57" s="5" t="n">
        <v>102.5</v>
      </c>
      <c r="D57" s="5" t="n">
        <v>1.36</v>
      </c>
      <c r="E57" s="5" t="n">
        <v>148.05</v>
      </c>
      <c r="F57" s="5" t="n">
        <v>165.55</v>
      </c>
      <c r="G57" s="5" t="n">
        <v>6.58</v>
      </c>
      <c r="H57" s="5" t="n">
        <v>-6.32</v>
      </c>
      <c r="I57" s="5" t="n">
        <v>2.4</v>
      </c>
      <c r="J57" s="5" t="n">
        <v>1.83</v>
      </c>
      <c r="K57" s="5" t="n">
        <v>-0.57</v>
      </c>
      <c r="L57" s="5" t="n">
        <v>1.92</v>
      </c>
      <c r="M57" s="5" t="n">
        <v>-1.6</v>
      </c>
      <c r="N57" s="5" t="n">
        <v>22.36</v>
      </c>
      <c r="O57" s="5" t="n">
        <v>18.87</v>
      </c>
      <c r="P57" s="5" t="n">
        <v>23.99</v>
      </c>
      <c r="Q57" s="5" t="n">
        <v>3552.03</v>
      </c>
      <c r="R57" s="5" t="n">
        <v>-1.04</v>
      </c>
      <c r="S57" s="5" t="n">
        <v>-2.99</v>
      </c>
      <c r="T57" s="5" t="n">
        <v>11.86</v>
      </c>
      <c r="U57" s="5" t="n">
        <v>12.98</v>
      </c>
      <c r="V57" s="5" t="n">
        <v>65.81</v>
      </c>
      <c r="W57" s="5" t="n">
        <v>38.57</v>
      </c>
      <c r="X57" s="5" t="n">
        <v>1.6</v>
      </c>
      <c r="Y57" s="5" t="n">
        <v>66.93000000000001</v>
      </c>
      <c r="Z57" s="5" t="n">
        <v>1.21</v>
      </c>
      <c r="AA57" s="5" t="n">
        <v>-1.21</v>
      </c>
      <c r="AB57" s="5" t="n">
        <v>1.34</v>
      </c>
      <c r="AC57" s="5" t="n">
        <v/>
      </c>
      <c r="AD57" s="5" t="n">
        <v>5.12</v>
      </c>
      <c r="AE57" s="5" t="n">
        <v>65.97</v>
      </c>
    </row>
    <row r="58">
      <c r="A58" s="2" t="inlineStr">
        <is>
          <t>2025-09-25 11:49:06</t>
        </is>
      </c>
      <c r="B58" s="3" t="n">
        <v>75.06</v>
      </c>
      <c r="C58" s="3" t="n">
        <v>101.15</v>
      </c>
      <c r="D58" s="3" t="n">
        <v>1.35</v>
      </c>
      <c r="E58" s="3" t="n">
        <v>143.88</v>
      </c>
      <c r="F58" s="3" t="n">
        <v>165.38</v>
      </c>
      <c r="G58" s="3" t="n">
        <v>8.960000000000001</v>
      </c>
      <c r="H58" s="3" t="n">
        <v>-4.96</v>
      </c>
      <c r="I58" s="3" t="n">
        <v>4.6</v>
      </c>
      <c r="J58" s="3" t="n">
        <v>-1.62</v>
      </c>
      <c r="K58" s="3" t="n">
        <v>-6.22</v>
      </c>
      <c r="L58" s="3" t="n">
        <v>-0.6899999999999999</v>
      </c>
      <c r="M58" s="3" t="n">
        <v>-0.4</v>
      </c>
      <c r="N58" s="3" t="n">
        <v>20.86</v>
      </c>
      <c r="O58" s="3" t="n">
        <v>17.89</v>
      </c>
      <c r="P58" s="3" t="n">
        <v>22.11</v>
      </c>
      <c r="Q58" s="3" t="n">
        <v>3111</v>
      </c>
      <c r="R58" s="3" t="n">
        <v>-13.77</v>
      </c>
      <c r="S58" s="3" t="n">
        <v>-34.12</v>
      </c>
      <c r="T58" s="3" t="n">
        <v>-39.34</v>
      </c>
      <c r="U58" s="3" t="n">
        <v>-49.63</v>
      </c>
      <c r="V58" s="3" t="n">
        <v>56.02</v>
      </c>
      <c r="W58" s="3" t="n">
        <v>34.45</v>
      </c>
      <c r="X58" s="3" t="n">
        <v>4.32</v>
      </c>
      <c r="Y58" s="3" t="n">
        <v>72.06999999999999</v>
      </c>
      <c r="Z58" s="3" t="n">
        <v>1.19</v>
      </c>
      <c r="AA58" s="3" t="n">
        <v>-15.38</v>
      </c>
      <c r="AB58" s="3" t="n">
        <v>0.16</v>
      </c>
      <c r="AC58" s="3" t="n">
        <v/>
      </c>
      <c r="AD58" s="3" t="n">
        <v>4.74</v>
      </c>
      <c r="AE58" s="3" t="n">
        <v>64.95999999999999</v>
      </c>
    </row>
    <row r="59">
      <c r="A59" s="4" t="inlineStr">
        <is>
          <t>2025-09-25 12:01:43</t>
        </is>
      </c>
      <c r="B59" s="5" t="n">
        <v>75.8</v>
      </c>
      <c r="C59" s="5" t="n">
        <v>99.45</v>
      </c>
      <c r="D59" s="5" t="n">
        <v>1.31</v>
      </c>
      <c r="E59" s="5" t="n">
        <v>142.04</v>
      </c>
      <c r="F59" s="5" t="n">
        <v>158.52</v>
      </c>
      <c r="G59" s="5" t="n">
        <v>5.77</v>
      </c>
      <c r="H59" s="5" t="n">
        <v>-10.9</v>
      </c>
      <c r="I59" s="5" t="n">
        <v>0.6</v>
      </c>
      <c r="J59" s="5" t="n">
        <v>3.27</v>
      </c>
      <c r="K59" s="5" t="n">
        <v>2.67</v>
      </c>
      <c r="L59" s="5" t="n">
        <v>2.85</v>
      </c>
      <c r="M59" s="5" t="n">
        <v>-1</v>
      </c>
      <c r="N59" s="5" t="n">
        <v>23.8</v>
      </c>
      <c r="O59" s="5" t="n">
        <v>20.14</v>
      </c>
      <c r="P59" s="5" t="n">
        <v>25.11</v>
      </c>
      <c r="Q59" s="5" t="n">
        <v>3631</v>
      </c>
      <c r="R59" s="5" t="n">
        <v>5.19</v>
      </c>
      <c r="S59" s="5" t="n">
        <v>14.1</v>
      </c>
      <c r="T59" s="5" t="n">
        <v>35.27</v>
      </c>
      <c r="U59" s="5" t="n">
        <v>40.61</v>
      </c>
      <c r="V59" s="5" t="n">
        <v>66.37</v>
      </c>
      <c r="W59" s="5" t="n">
        <v>39.54</v>
      </c>
      <c r="X59" s="5" t="n">
        <v>0.1</v>
      </c>
      <c r="Y59" s="5" t="n">
        <v>66.44</v>
      </c>
      <c r="Z59" s="5" t="n">
        <v>1.24</v>
      </c>
      <c r="AA59" s="5" t="n">
        <v>5.58</v>
      </c>
      <c r="AB59" s="5" t="n">
        <v>0.9399999999999999</v>
      </c>
      <c r="AC59" s="5" t="n">
        <v/>
      </c>
      <c r="AD59" s="5" t="n">
        <v>5.07</v>
      </c>
      <c r="AE59" s="5" t="n">
        <v>63.34</v>
      </c>
    </row>
    <row r="60">
      <c r="A60" s="2" t="inlineStr">
        <is>
          <t>2025-09-25 12:00:15</t>
        </is>
      </c>
      <c r="B60" s="3" t="n">
        <v>74.13</v>
      </c>
      <c r="C60" s="3" t="n">
        <v>98.16</v>
      </c>
      <c r="D60" s="3" t="n">
        <v>1.32</v>
      </c>
      <c r="E60" s="3" t="n">
        <v>136.18</v>
      </c>
      <c r="F60" s="3" t="n">
        <v>151.1</v>
      </c>
      <c r="G60" s="3" t="n">
        <v>2.95</v>
      </c>
      <c r="H60" s="3" t="n">
        <v>-14.22</v>
      </c>
      <c r="I60" s="3" t="n">
        <v>2.2</v>
      </c>
      <c r="J60" s="3" t="n">
        <v>6.08</v>
      </c>
      <c r="K60" s="3" t="n">
        <v>3.88</v>
      </c>
      <c r="L60" s="3" t="n">
        <v>5.39</v>
      </c>
      <c r="M60" s="3" t="n">
        <v>-3.2</v>
      </c>
      <c r="N60" s="3" t="n">
        <v>23.64</v>
      </c>
      <c r="O60" s="3" t="n">
        <v>19.28</v>
      </c>
      <c r="P60" s="3" t="n">
        <v>27.25</v>
      </c>
      <c r="Q60" s="3" t="n">
        <v>4293.4</v>
      </c>
      <c r="R60" s="3" t="n">
        <v>7.17</v>
      </c>
      <c r="S60" s="3" t="n">
        <v>19.25</v>
      </c>
      <c r="T60" s="3" t="n">
        <v>57.49</v>
      </c>
      <c r="U60" s="3" t="n">
        <v>65.41</v>
      </c>
      <c r="V60" s="3" t="n">
        <v>62.19</v>
      </c>
      <c r="W60" s="3" t="n">
        <v>39.24</v>
      </c>
      <c r="X60" s="3" t="n">
        <v>0.71</v>
      </c>
      <c r="Y60" s="3" t="n">
        <v>67.47</v>
      </c>
      <c r="Z60" s="3" t="n">
        <v>1.21</v>
      </c>
      <c r="AA60" s="3" t="n">
        <v>7.85</v>
      </c>
      <c r="AB60" s="3" t="n">
        <v>2.91</v>
      </c>
      <c r="AC60" s="3" t="n">
        <v/>
      </c>
      <c r="AD60" s="3" t="n">
        <v>4.96</v>
      </c>
      <c r="AE60" s="3" t="n">
        <v>63.98</v>
      </c>
    </row>
    <row r="61">
      <c r="A61" s="4" t="inlineStr">
        <is>
          <t>2025-09-25 12:00:47</t>
        </is>
      </c>
      <c r="B61" s="5" t="n">
        <v>74.56</v>
      </c>
      <c r="C61" s="5" t="n">
        <v>88.56999999999999</v>
      </c>
      <c r="D61" s="5" t="n">
        <v>1.19</v>
      </c>
      <c r="E61" s="5" t="n">
        <v>110.97</v>
      </c>
      <c r="F61" s="5" t="n">
        <v>144.09</v>
      </c>
      <c r="G61" s="5" t="n">
        <v>8.460000000000001</v>
      </c>
      <c r="H61" s="5" t="n">
        <v>-18.62</v>
      </c>
      <c r="I61" s="5" t="n">
        <v>3.2</v>
      </c>
      <c r="J61" s="5" t="n">
        <v>2.22</v>
      </c>
      <c r="K61" s="5" t="n">
        <v>-0.98</v>
      </c>
      <c r="L61" s="5" t="n">
        <v>2.32</v>
      </c>
      <c r="M61" s="5" t="n">
        <v>-1.4</v>
      </c>
      <c r="N61" s="5" t="n">
        <v>19.39</v>
      </c>
      <c r="O61" s="5" t="n">
        <v>17.37</v>
      </c>
      <c r="P61" s="5" t="n">
        <v>20.95</v>
      </c>
      <c r="Q61" s="5" t="n">
        <v>1783.89</v>
      </c>
      <c r="R61" s="5" t="n">
        <v>-1.97</v>
      </c>
      <c r="S61" s="5" t="n">
        <v>-2.05</v>
      </c>
      <c r="T61" s="5" t="n">
        <v>11.43</v>
      </c>
      <c r="U61" s="5" t="n">
        <v>14.26</v>
      </c>
      <c r="V61" s="5" t="n">
        <v>33.03</v>
      </c>
      <c r="W61" s="5" t="n">
        <v>25.27</v>
      </c>
      <c r="X61" s="5" t="n">
        <v>2.63</v>
      </c>
      <c r="Y61" s="5" t="n">
        <v>73.2</v>
      </c>
      <c r="Z61" s="5" t="n">
        <v>1.28</v>
      </c>
      <c r="AA61" s="5" t="n">
        <v>-2.47</v>
      </c>
      <c r="AB61" s="5" t="n">
        <v>1.26</v>
      </c>
      <c r="AC61" s="5" t="n">
        <v/>
      </c>
      <c r="AD61" s="5" t="n">
        <v>3.47</v>
      </c>
      <c r="AE61" s="5" t="n">
        <v>65.59999999999999</v>
      </c>
    </row>
    <row r="62">
      <c r="A62" s="2" t="inlineStr">
        <is>
          <t>2025-09-25 12:02:42</t>
        </is>
      </c>
      <c r="B62" s="3" t="n">
        <v>76.66</v>
      </c>
      <c r="C62" s="3" t="n">
        <v>98.81</v>
      </c>
      <c r="D62" s="3" t="n">
        <v>1.29</v>
      </c>
      <c r="E62" s="3" t="n">
        <v>139.58</v>
      </c>
      <c r="F62" s="3" t="n">
        <v>155.55</v>
      </c>
      <c r="G62" s="3" t="n">
        <v>4</v>
      </c>
      <c r="H62" s="3" t="n">
        <v>-18.06</v>
      </c>
      <c r="I62" s="3" t="n">
        <v>0.8</v>
      </c>
      <c r="J62" s="3" t="n">
        <v>1.77</v>
      </c>
      <c r="K62" s="3" t="n">
        <v>0.97</v>
      </c>
      <c r="L62" s="3" t="n">
        <v>1.61</v>
      </c>
      <c r="M62" s="3" t="n">
        <v>-1</v>
      </c>
      <c r="N62" s="3" t="n">
        <v>23.64</v>
      </c>
      <c r="O62" s="3" t="n">
        <v>19.7</v>
      </c>
      <c r="P62" s="3" t="n">
        <v>24.82</v>
      </c>
      <c r="Q62" s="3" t="n">
        <v>3864.3</v>
      </c>
      <c r="R62" s="3" t="n">
        <v>1.87</v>
      </c>
      <c r="S62" s="3" t="n">
        <v>5.06</v>
      </c>
      <c r="T62" s="3" t="n">
        <v>16.82</v>
      </c>
      <c r="U62" s="3" t="n">
        <v>19.19</v>
      </c>
      <c r="V62" s="3" t="n">
        <v>64.34</v>
      </c>
      <c r="W62" s="3" t="n">
        <v>39.32</v>
      </c>
      <c r="X62" s="3" t="n">
        <v>0.27</v>
      </c>
      <c r="Y62" s="3" t="n">
        <v>65.63</v>
      </c>
      <c r="Z62" s="3" t="n">
        <v>1.26</v>
      </c>
      <c r="AA62" s="3" t="n">
        <v>1.98</v>
      </c>
      <c r="AB62" s="3" t="n">
        <v>0.9399999999999999</v>
      </c>
      <c r="AC62" s="3" t="n">
        <v/>
      </c>
      <c r="AD62" s="3" t="n">
        <v>5.02</v>
      </c>
      <c r="AE62" s="3" t="n">
        <v>65.31999999999999</v>
      </c>
    </row>
    <row r="63">
      <c r="A63" s="4" t="inlineStr">
        <is>
          <t>2025-09-25 12:01:25</t>
        </is>
      </c>
      <c r="B63" s="5" t="n">
        <v>75.8</v>
      </c>
      <c r="C63" s="5" t="n">
        <v>95.06999999999999</v>
      </c>
      <c r="D63" s="5" t="n">
        <v>1.25</v>
      </c>
      <c r="E63" s="5" t="n">
        <v>129.64</v>
      </c>
      <c r="F63" s="5" t="n">
        <v>145.32</v>
      </c>
      <c r="G63" s="5" t="n">
        <v>3.43</v>
      </c>
      <c r="H63" s="5" t="n">
        <v>-22.64</v>
      </c>
      <c r="I63" s="5" t="n">
        <v>2.2</v>
      </c>
      <c r="J63" s="5" t="n">
        <v>5.07</v>
      </c>
      <c r="K63" s="5" t="n">
        <v>2.87</v>
      </c>
      <c r="L63" s="5" t="n">
        <v>4.54</v>
      </c>
      <c r="M63" s="5" t="n">
        <v>-2.2</v>
      </c>
      <c r="N63" s="5" t="n">
        <v>23.59</v>
      </c>
      <c r="O63" s="5" t="n">
        <v>19.09</v>
      </c>
      <c r="P63" s="5" t="n">
        <v>26.12</v>
      </c>
      <c r="Q63" s="5" t="n">
        <v>4269</v>
      </c>
      <c r="R63" s="5" t="n">
        <v>5.38</v>
      </c>
      <c r="S63" s="5" t="n">
        <v>13.1</v>
      </c>
      <c r="T63" s="5" t="n">
        <v>43.79</v>
      </c>
      <c r="U63" s="5" t="n">
        <v>50.34</v>
      </c>
      <c r="V63" s="5" t="n">
        <v>56.74</v>
      </c>
      <c r="W63" s="5" t="n">
        <v>37.8</v>
      </c>
      <c r="X63" s="5" t="n">
        <v>1.21</v>
      </c>
      <c r="Y63" s="5" t="n">
        <v>67.97</v>
      </c>
      <c r="Z63" s="5" t="n">
        <v>1.2</v>
      </c>
      <c r="AA63" s="5" t="n">
        <v>5.89</v>
      </c>
      <c r="AB63" s="5" t="n">
        <v>2.01</v>
      </c>
      <c r="AC63" s="5" t="n">
        <v/>
      </c>
      <c r="AD63" s="5" t="n">
        <v>4.74</v>
      </c>
      <c r="AE63" s="5" t="n">
        <v>63.63</v>
      </c>
    </row>
    <row r="64">
      <c r="A64" s="2" t="inlineStr">
        <is>
          <t>2025-09-25 12:02:30</t>
        </is>
      </c>
      <c r="B64" s="3" t="n">
        <v>75.03</v>
      </c>
      <c r="C64" s="3" t="n">
        <v>96.22</v>
      </c>
      <c r="D64" s="3" t="n">
        <v>1.28</v>
      </c>
      <c r="E64" s="3" t="n">
        <v>133.54</v>
      </c>
      <c r="F64" s="3" t="n">
        <v>156.14</v>
      </c>
      <c r="G64" s="3" t="n">
        <v>10.32</v>
      </c>
      <c r="H64" s="3" t="n">
        <v>-6.36</v>
      </c>
      <c r="I64" s="3" t="n">
        <v>0.2</v>
      </c>
      <c r="J64" s="3" t="n">
        <v>-0.62</v>
      </c>
      <c r="K64" s="3" t="n">
        <v>-0.82</v>
      </c>
      <c r="L64" s="3" t="n">
        <v>-0.5</v>
      </c>
      <c r="M64" s="3" t="n">
        <v>-1.8</v>
      </c>
      <c r="N64" s="3" t="n">
        <v>20.91</v>
      </c>
      <c r="O64" s="3" t="n">
        <v>17.76</v>
      </c>
      <c r="P64" s="3" t="n">
        <v>22.87</v>
      </c>
      <c r="Q64" s="3" t="n">
        <v>3004.68</v>
      </c>
      <c r="R64" s="3" t="n">
        <v>-1.67</v>
      </c>
      <c r="S64" s="3" t="n">
        <v>-3.56</v>
      </c>
      <c r="T64" s="3" t="n">
        <v>-7.06</v>
      </c>
      <c r="U64" s="3" t="n">
        <v>-8.779999999999999</v>
      </c>
      <c r="V64" s="3" t="n">
        <v>49.64</v>
      </c>
      <c r="W64" s="3" t="n">
        <v>32.86</v>
      </c>
      <c r="X64" s="3" t="n">
        <v>-0.54</v>
      </c>
      <c r="Y64" s="3" t="n">
        <v>71.19</v>
      </c>
      <c r="Z64" s="3" t="n">
        <v>1.23</v>
      </c>
      <c r="AA64" s="3" t="n">
        <v>-1.95</v>
      </c>
      <c r="AB64" s="3" t="n">
        <v>1.61</v>
      </c>
      <c r="AC64" s="3" t="n">
        <v/>
      </c>
      <c r="AD64" s="3" t="n">
        <v>4.46</v>
      </c>
      <c r="AE64" s="3" t="n">
        <v>65.95999999999999</v>
      </c>
    </row>
    <row r="65">
      <c r="A65" s="4" t="inlineStr">
        <is>
          <t>2025-09-25 12:03:23</t>
        </is>
      </c>
      <c r="B65" s="5" t="n">
        <v>74.26000000000001</v>
      </c>
      <c r="C65" s="5" t="n">
        <v>99.14</v>
      </c>
      <c r="D65" s="5" t="n">
        <v>1.33</v>
      </c>
      <c r="E65" s="5" t="n">
        <v>139.38</v>
      </c>
      <c r="F65" s="5" t="n">
        <v>157.84</v>
      </c>
      <c r="G65" s="5" t="n">
        <v>2.57</v>
      </c>
      <c r="H65" s="5" t="n">
        <v>-18.11</v>
      </c>
      <c r="I65" s="5" t="n">
        <v>2.6</v>
      </c>
      <c r="J65" s="5" t="n">
        <v>-0.59</v>
      </c>
      <c r="K65" s="5" t="n">
        <v>-3.19</v>
      </c>
      <c r="L65" s="5" t="n">
        <v>-0.06</v>
      </c>
      <c r="M65" s="5" t="n">
        <v>-1.4</v>
      </c>
      <c r="N65" s="5" t="n">
        <v>21.88</v>
      </c>
      <c r="O65" s="5" t="n">
        <v>18.24</v>
      </c>
      <c r="P65" s="5" t="n">
        <v>23.57</v>
      </c>
      <c r="Q65" s="5" t="n">
        <v>3615.8</v>
      </c>
      <c r="R65" s="5" t="n">
        <v>-6.31</v>
      </c>
      <c r="S65" s="5" t="n">
        <v>-16.18</v>
      </c>
      <c r="T65" s="5" t="n">
        <v>-16.6</v>
      </c>
      <c r="U65" s="5" t="n">
        <v>-20.56</v>
      </c>
      <c r="V65" s="5" t="n">
        <v>57.83</v>
      </c>
      <c r="W65" s="5" t="n">
        <v>36.43</v>
      </c>
      <c r="X65" s="5" t="n">
        <v>1.86</v>
      </c>
      <c r="Y65" s="5" t="n">
        <v>66.02</v>
      </c>
      <c r="Z65" s="5" t="n">
        <v>1.28</v>
      </c>
      <c r="AA65" s="5" t="n">
        <v>-7.41</v>
      </c>
      <c r="AB65" s="5" t="n">
        <v>1.26</v>
      </c>
      <c r="AC65" s="5" t="n">
        <v/>
      </c>
      <c r="AD65" s="5" t="n">
        <v>4.82</v>
      </c>
      <c r="AE65" s="5" t="n">
        <v>64.79000000000001</v>
      </c>
    </row>
    <row r="66">
      <c r="A66" s="2" t="inlineStr">
        <is>
          <t>2025-09-25 11:37:16</t>
        </is>
      </c>
      <c r="B66" s="3" t="n">
        <v>67.63</v>
      </c>
      <c r="C66" s="3" t="n">
        <v>85.70999999999999</v>
      </c>
      <c r="D66" s="3" t="n">
        <v>1.27</v>
      </c>
      <c r="E66" s="3" t="n">
        <v>109.84</v>
      </c>
      <c r="F66" s="3" t="n">
        <v>118.43</v>
      </c>
      <c r="G66" s="3" t="n">
        <v>3.67</v>
      </c>
      <c r="H66" s="3" t="n">
        <v>-5.82</v>
      </c>
      <c r="I66" s="3" t="n">
        <v>0.6</v>
      </c>
      <c r="J66" s="3" t="n">
        <v>-1.86</v>
      </c>
      <c r="K66" s="3" t="n">
        <v>-2.46</v>
      </c>
      <c r="L66" s="3" t="n">
        <v>-1.27</v>
      </c>
      <c r="M66" s="3" t="n">
        <v>-2.4</v>
      </c>
      <c r="N66" s="3" t="n">
        <v>31.43</v>
      </c>
      <c r="O66" s="3" t="n">
        <v>24.73</v>
      </c>
      <c r="P66" s="3" t="n">
        <v>34.01</v>
      </c>
      <c r="Q66" s="3" t="n">
        <v>5708.29</v>
      </c>
      <c r="R66" s="3" t="n">
        <v>-3.62</v>
      </c>
      <c r="S66" s="3" t="n">
        <v>-7.76</v>
      </c>
      <c r="T66" s="3" t="n">
        <v>-15.09</v>
      </c>
      <c r="U66" s="3" t="n">
        <v>-16.66</v>
      </c>
      <c r="V66" s="3" t="n">
        <v>63.6</v>
      </c>
      <c r="W66" s="3" t="n">
        <v>44.56</v>
      </c>
      <c r="X66" s="3" t="n">
        <v>-0.23</v>
      </c>
      <c r="Y66" s="3" t="n">
        <v>70.66</v>
      </c>
      <c r="Z66" s="3" t="n">
        <v>1.2</v>
      </c>
      <c r="AA66" s="3" t="n">
        <v>-3.87</v>
      </c>
      <c r="AB66" s="3" t="n">
        <v>2.17</v>
      </c>
      <c r="AC66" s="3" t="n">
        <v/>
      </c>
      <c r="AD66" s="3" t="n">
        <v>4.77</v>
      </c>
      <c r="AE66" s="3" t="n">
        <v>68.75</v>
      </c>
    </row>
    <row r="67">
      <c r="A67" s="4" t="inlineStr">
        <is>
          <t>2025-09-25 11:40:13</t>
        </is>
      </c>
      <c r="B67" s="5" t="n">
        <v>70.84999999999999</v>
      </c>
      <c r="C67" s="5" t="n">
        <v>90.33</v>
      </c>
      <c r="D67" s="5" t="n">
        <v>1.27</v>
      </c>
      <c r="E67" s="5" t="n">
        <v>117.11</v>
      </c>
      <c r="F67" s="5" t="n">
        <v>124.23</v>
      </c>
      <c r="G67" s="5" t="n">
        <v>3.64</v>
      </c>
      <c r="H67" s="5" t="n">
        <v>-0.1</v>
      </c>
      <c r="I67" s="5" t="n">
        <v>3</v>
      </c>
      <c r="J67" s="5" t="n">
        <v>-1.01</v>
      </c>
      <c r="K67" s="5" t="n">
        <v>-4.01</v>
      </c>
      <c r="L67" s="5" t="n">
        <v>-0.08</v>
      </c>
      <c r="M67" s="5" t="n">
        <v>-1.6</v>
      </c>
      <c r="N67" s="5" t="n">
        <v>31.66</v>
      </c>
      <c r="O67" s="5" t="n">
        <v>24.89</v>
      </c>
      <c r="P67" s="5" t="n">
        <v>33.61</v>
      </c>
      <c r="Q67" s="5" t="n">
        <v>6106.16</v>
      </c>
      <c r="R67" s="5" t="n">
        <v>-5.69</v>
      </c>
      <c r="S67" s="5" t="n">
        <v>-14.24</v>
      </c>
      <c r="T67" s="5" t="n">
        <v>-14.73</v>
      </c>
      <c r="U67" s="5" t="n">
        <v>-16.15</v>
      </c>
      <c r="V67" s="5" t="n">
        <v>72.48999999999999</v>
      </c>
      <c r="W67" s="5" t="n">
        <v>46.85</v>
      </c>
      <c r="X67" s="5" t="n">
        <v>2.14</v>
      </c>
      <c r="Y67" s="5" t="n">
        <v>66.45999999999999</v>
      </c>
      <c r="Z67" s="5" t="n">
        <v>1.22</v>
      </c>
      <c r="AA67" s="5" t="n">
        <v>-6.07</v>
      </c>
      <c r="AB67" s="5" t="n">
        <v>1.57</v>
      </c>
      <c r="AC67" s="5" t="n">
        <v/>
      </c>
      <c r="AD67" s="5" t="n">
        <v>5.09</v>
      </c>
      <c r="AE67" s="5" t="n">
        <v>66.41</v>
      </c>
    </row>
    <row r="68">
      <c r="A68" s="2" t="inlineStr">
        <is>
          <t>2025-09-25 11:37:33</t>
        </is>
      </c>
      <c r="B68" s="3" t="n">
        <v>68.79000000000001</v>
      </c>
      <c r="C68" s="3" t="n">
        <v>87.39</v>
      </c>
      <c r="D68" s="3" t="n">
        <v>1.27</v>
      </c>
      <c r="E68" s="3" t="n">
        <v>112.54</v>
      </c>
      <c r="F68" s="3" t="n">
        <v>121.26</v>
      </c>
      <c r="G68" s="3" t="n">
        <v>3.76</v>
      </c>
      <c r="H68" s="3" t="n">
        <v>-13.86</v>
      </c>
      <c r="I68" s="3" t="n">
        <v>2</v>
      </c>
      <c r="J68" s="3" t="n">
        <v>-2.24</v>
      </c>
      <c r="K68" s="3" t="n">
        <v>-4.24</v>
      </c>
      <c r="L68" s="3" t="n">
        <v>-1.29</v>
      </c>
      <c r="M68" s="3" t="n">
        <v>-2.8</v>
      </c>
      <c r="N68" s="3" t="n">
        <v>30.48</v>
      </c>
      <c r="O68" s="3" t="n">
        <v>23.82</v>
      </c>
      <c r="P68" s="3" t="n">
        <v>33.7</v>
      </c>
      <c r="Q68" s="3" t="n">
        <v>5816.57</v>
      </c>
      <c r="R68" s="3" t="n">
        <v>-6.01</v>
      </c>
      <c r="S68" s="3" t="n">
        <v>-13.44</v>
      </c>
      <c r="T68" s="3" t="n">
        <v>-21.01</v>
      </c>
      <c r="U68" s="3" t="n">
        <v>-23.33</v>
      </c>
      <c r="V68" s="3" t="n">
        <v>63.44</v>
      </c>
      <c r="W68" s="3" t="n">
        <v>44.07</v>
      </c>
      <c r="X68" s="3" t="n">
        <v>0.84</v>
      </c>
      <c r="Y68" s="3" t="n">
        <v>70.63</v>
      </c>
      <c r="Z68" s="3" t="n">
        <v>1.23</v>
      </c>
      <c r="AA68" s="3" t="n">
        <v>-6.46</v>
      </c>
      <c r="AB68" s="3" t="n">
        <v>2.64</v>
      </c>
      <c r="AC68" s="3" t="n">
        <v/>
      </c>
      <c r="AD68" s="3" t="n">
        <v>4.8</v>
      </c>
      <c r="AE68" s="3" t="n">
        <v>69.23</v>
      </c>
    </row>
    <row r="69">
      <c r="A69" s="4" t="inlineStr">
        <is>
          <t>2025-09-25 11:39:42</t>
        </is>
      </c>
      <c r="B69" s="5" t="n">
        <v>71.69</v>
      </c>
      <c r="C69" s="5" t="n">
        <v>89.56</v>
      </c>
      <c r="D69" s="5" t="n">
        <v>1.25</v>
      </c>
      <c r="E69" s="5" t="n">
        <v>116.99</v>
      </c>
      <c r="F69" s="5" t="n">
        <v>125.65</v>
      </c>
      <c r="G69" s="5" t="n">
        <v>6.9</v>
      </c>
      <c r="H69" s="5" t="n">
        <v>-0.41</v>
      </c>
      <c r="I69" s="5" t="n">
        <v>1.8</v>
      </c>
      <c r="J69" s="5" t="n">
        <v>-5.26</v>
      </c>
      <c r="K69" s="5" t="n">
        <v>-7.06</v>
      </c>
      <c r="L69" s="5" t="n">
        <v>-3.67</v>
      </c>
      <c r="M69" s="5" t="n">
        <v>-0.8</v>
      </c>
      <c r="N69" s="5" t="n">
        <v>30.74</v>
      </c>
      <c r="O69" s="5" t="n">
        <v>24.62</v>
      </c>
      <c r="P69" s="5" t="n">
        <v>32.42</v>
      </c>
      <c r="Q69" s="5" t="n">
        <v>5576.83</v>
      </c>
      <c r="R69" s="5" t="n">
        <v>-10.7</v>
      </c>
      <c r="S69" s="5" t="n">
        <v>-25.5</v>
      </c>
      <c r="T69" s="5" t="n">
        <v>-47.88</v>
      </c>
      <c r="U69" s="5" t="n">
        <v>-52.62</v>
      </c>
      <c r="V69" s="5" t="n">
        <v>69.09</v>
      </c>
      <c r="W69" s="5" t="n">
        <v>45.33</v>
      </c>
      <c r="X69" s="5" t="n">
        <v>1.48</v>
      </c>
      <c r="Y69" s="5" t="n">
        <v>71.63</v>
      </c>
      <c r="Z69" s="5" t="n">
        <v>1.17</v>
      </c>
      <c r="AA69" s="5" t="n">
        <v>-11.42</v>
      </c>
      <c r="AB69" s="5" t="n">
        <v>0.75</v>
      </c>
      <c r="AC69" s="5" t="n">
        <v/>
      </c>
      <c r="AD69" s="5" t="n">
        <v>4.98</v>
      </c>
      <c r="AE69" s="5" t="n">
        <v>69.41</v>
      </c>
    </row>
    <row r="70">
      <c r="A70" s="2" t="inlineStr">
        <is>
          <t>2025-09-25 11:37:48</t>
        </is>
      </c>
      <c r="B70" s="3" t="n">
        <v>67.16</v>
      </c>
      <c r="C70" s="3" t="n">
        <v>83.89</v>
      </c>
      <c r="D70" s="3" t="n">
        <v>1.25</v>
      </c>
      <c r="E70" s="3" t="n">
        <v>105.59</v>
      </c>
      <c r="F70" s="3" t="n">
        <v>112.92</v>
      </c>
      <c r="G70" s="3" t="n">
        <v>2.66</v>
      </c>
      <c r="H70" s="3" t="n">
        <v>-13.42</v>
      </c>
      <c r="I70" s="3" t="n">
        <v>2.4</v>
      </c>
      <c r="J70" s="3" t="n">
        <v>1.27</v>
      </c>
      <c r="K70" s="3" t="n">
        <v>-1.13</v>
      </c>
      <c r="L70" s="3" t="n">
        <v>1.54</v>
      </c>
      <c r="M70" s="3" t="n">
        <v>-2</v>
      </c>
      <c r="N70" s="3" t="n">
        <v>32.97</v>
      </c>
      <c r="O70" s="3" t="n">
        <v>25.54</v>
      </c>
      <c r="P70" s="3" t="n">
        <v>35.18</v>
      </c>
      <c r="Q70" s="3" t="n">
        <v>6172.61</v>
      </c>
      <c r="R70" s="3" t="n">
        <v>-1.49</v>
      </c>
      <c r="S70" s="3" t="n">
        <v>-3.08</v>
      </c>
      <c r="T70" s="3" t="n">
        <v>5.44</v>
      </c>
      <c r="U70" s="3" t="n">
        <v>5.69</v>
      </c>
      <c r="V70" s="3" t="n">
        <v>63.44</v>
      </c>
      <c r="W70" s="3" t="n">
        <v>45.43</v>
      </c>
      <c r="X70" s="3" t="n">
        <v>1.43</v>
      </c>
      <c r="Y70" s="3" t="n">
        <v>67.72</v>
      </c>
      <c r="Z70" s="3" t="n">
        <v>1.18</v>
      </c>
      <c r="AA70" s="3" t="n">
        <v>-1.58</v>
      </c>
      <c r="AB70" s="3" t="n">
        <v>1.89</v>
      </c>
      <c r="AC70" s="3" t="n">
        <v/>
      </c>
      <c r="AD70" s="3" t="n">
        <v>4.73</v>
      </c>
      <c r="AE70" s="3" t="n">
        <v>67.38</v>
      </c>
    </row>
    <row r="71">
      <c r="A71" s="4" t="inlineStr">
        <is>
          <t>2025-09-25 11:39:20</t>
        </is>
      </c>
      <c r="B71" s="5" t="n">
        <v>69.47</v>
      </c>
      <c r="C71" s="5" t="n">
        <v>86.43000000000001</v>
      </c>
      <c r="D71" s="5" t="n">
        <v>1.24</v>
      </c>
      <c r="E71" s="5" t="n">
        <v>111.19</v>
      </c>
      <c r="F71" s="5" t="n">
        <v>118.99</v>
      </c>
      <c r="G71" s="5" t="n">
        <v>3.57</v>
      </c>
      <c r="H71" s="5" t="n">
        <v>-12.82</v>
      </c>
      <c r="I71" s="5" t="n">
        <v>1.2</v>
      </c>
      <c r="J71" s="5" t="n">
        <v>-0.17</v>
      </c>
      <c r="K71" s="5" t="n">
        <v>-1.36</v>
      </c>
      <c r="L71" s="5" t="n">
        <v>0.15</v>
      </c>
      <c r="M71" s="5" t="n">
        <v>-1.4</v>
      </c>
      <c r="N71" s="5" t="n">
        <v>32.66</v>
      </c>
      <c r="O71" s="5" t="n">
        <v>26.02</v>
      </c>
      <c r="P71" s="5" t="n">
        <v>34.26</v>
      </c>
      <c r="Q71" s="5" t="n">
        <v>5689</v>
      </c>
      <c r="R71" s="5" t="n">
        <v>-1.95</v>
      </c>
      <c r="S71" s="5" t="n">
        <v>-4.34</v>
      </c>
      <c r="T71" s="5" t="n">
        <v>-3.46</v>
      </c>
      <c r="U71" s="5" t="n">
        <v>-3.88</v>
      </c>
      <c r="V71" s="5" t="n">
        <v>69.01000000000001</v>
      </c>
      <c r="W71" s="5" t="n">
        <v>46.41</v>
      </c>
      <c r="X71" s="5" t="n">
        <v>0.62</v>
      </c>
      <c r="Y71" s="5" t="n">
        <v>70.23</v>
      </c>
      <c r="Z71" s="5" t="n">
        <v>1.18</v>
      </c>
      <c r="AA71" s="5" t="n">
        <v>-2.06</v>
      </c>
      <c r="AB71" s="5" t="n">
        <v>1.3</v>
      </c>
      <c r="AC71" s="5" t="n">
        <v/>
      </c>
      <c r="AD71" s="5" t="n">
        <v>4.93</v>
      </c>
      <c r="AE71" s="5" t="n">
        <v>66.36</v>
      </c>
    </row>
    <row r="72">
      <c r="A72" s="2" t="inlineStr">
        <is>
          <t>2025-09-25 11:38:02</t>
        </is>
      </c>
      <c r="B72" s="3" t="n">
        <v>69.06</v>
      </c>
      <c r="C72" s="3" t="n">
        <v>83.18000000000001</v>
      </c>
      <c r="D72" s="3" t="n">
        <v>1.2</v>
      </c>
      <c r="E72" s="3" t="n">
        <v>104.78</v>
      </c>
      <c r="F72" s="3" t="n">
        <v>114.94</v>
      </c>
      <c r="G72" s="3" t="n">
        <v>-4.02</v>
      </c>
      <c r="H72" s="3" t="n">
        <v>-18.11</v>
      </c>
      <c r="I72" s="3" t="n">
        <v>1.4</v>
      </c>
      <c r="J72" s="3" t="n">
        <v>-4.79</v>
      </c>
      <c r="K72" s="3" t="n">
        <v>-6.19</v>
      </c>
      <c r="L72" s="3" t="n">
        <v>-3.32</v>
      </c>
      <c r="M72" s="3" t="n">
        <v>-2</v>
      </c>
      <c r="N72" s="3" t="n">
        <v>30.05</v>
      </c>
      <c r="O72" s="3" t="n">
        <v>23.37</v>
      </c>
      <c r="P72" s="3" t="n">
        <v>32.69</v>
      </c>
      <c r="Q72" s="3" t="n">
        <v>5608.3</v>
      </c>
      <c r="R72" s="3" t="n">
        <v>-9.19</v>
      </c>
      <c r="S72" s="3" t="n">
        <v>-17.5</v>
      </c>
      <c r="T72" s="3" t="n">
        <v>-35.64</v>
      </c>
      <c r="U72" s="3" t="n">
        <v>-40.3</v>
      </c>
      <c r="V72" s="3" t="n">
        <v>54.69</v>
      </c>
      <c r="W72" s="3" t="n">
        <v>41.48</v>
      </c>
      <c r="X72" s="3" t="n">
        <v>0.43</v>
      </c>
      <c r="Y72" s="3" t="n">
        <v>66.5</v>
      </c>
      <c r="Z72" s="3" t="n">
        <v>1.19</v>
      </c>
      <c r="AA72" s="3" t="n">
        <v>-9.92</v>
      </c>
      <c r="AB72" s="3" t="n">
        <v>1.85</v>
      </c>
      <c r="AC72" s="3" t="n">
        <v/>
      </c>
      <c r="AD72" s="3" t="n">
        <v>4.46</v>
      </c>
      <c r="AE72" s="3" t="n">
        <v>68.42</v>
      </c>
    </row>
    <row r="73">
      <c r="A73" s="4" t="inlineStr">
        <is>
          <t>2025-09-25 11:40:29</t>
        </is>
      </c>
      <c r="B73" s="5" t="n">
        <v>71.19</v>
      </c>
      <c r="C73" s="5" t="n">
        <v>87.56999999999999</v>
      </c>
      <c r="D73" s="5" t="n">
        <v>1.23</v>
      </c>
      <c r="E73" s="5" t="n">
        <v>111.75</v>
      </c>
      <c r="F73" s="5" t="n">
        <v>117.86</v>
      </c>
      <c r="G73" s="5" t="n">
        <v>2.75</v>
      </c>
      <c r="H73" s="5" t="n">
        <v>-14.47</v>
      </c>
      <c r="I73" s="5" t="n">
        <v>1.6</v>
      </c>
      <c r="J73" s="5" t="n">
        <v>4.16</v>
      </c>
      <c r="K73" s="5" t="n">
        <v>2.56</v>
      </c>
      <c r="L73" s="5" t="n">
        <v>3.55</v>
      </c>
      <c r="M73" s="5" t="n">
        <v>-1</v>
      </c>
      <c r="N73" s="5" t="n">
        <v>34.32</v>
      </c>
      <c r="O73" s="5" t="n">
        <v>27.27</v>
      </c>
      <c r="P73" s="5" t="n">
        <v>35.44</v>
      </c>
      <c r="Q73" s="5" t="n">
        <v>6138.98</v>
      </c>
      <c r="R73" s="5" t="n">
        <v>3.47</v>
      </c>
      <c r="S73" s="5" t="n">
        <v>8.17</v>
      </c>
      <c r="T73" s="5" t="n">
        <v>28.91</v>
      </c>
      <c r="U73" s="5" t="n">
        <v>30.73</v>
      </c>
      <c r="V73" s="5" t="n">
        <v>75.43000000000001</v>
      </c>
      <c r="W73" s="5" t="n">
        <v>48.75</v>
      </c>
      <c r="X73" s="5" t="n">
        <v>1.16</v>
      </c>
      <c r="Y73" s="5" t="n">
        <v>67.93000000000001</v>
      </c>
      <c r="Z73" s="5" t="n">
        <v>1.12</v>
      </c>
      <c r="AA73" s="5" t="n">
        <v>3.63</v>
      </c>
      <c r="AB73" s="5" t="n">
        <v>0.79</v>
      </c>
      <c r="AC73" s="5" t="n">
        <v/>
      </c>
      <c r="AD73" s="5" t="n">
        <v>5.1</v>
      </c>
      <c r="AE73" s="5" t="n">
        <v>65.78</v>
      </c>
    </row>
    <row r="74">
      <c r="A74" s="2" t="inlineStr">
        <is>
          <t>2025-09-25 11:38:17</t>
        </is>
      </c>
      <c r="B74" s="3" t="n">
        <v>68.66</v>
      </c>
      <c r="C74" s="3" t="n">
        <v>81.88</v>
      </c>
      <c r="D74" s="3" t="n">
        <v>1.19</v>
      </c>
      <c r="E74" s="3" t="n">
        <v>104.69</v>
      </c>
      <c r="F74" s="3" t="n">
        <v>116.13</v>
      </c>
      <c r="G74" s="3" t="n">
        <v>3.93</v>
      </c>
      <c r="H74" s="3" t="n">
        <v>3.17</v>
      </c>
      <c r="I74" s="3" t="n">
        <v>3.6</v>
      </c>
      <c r="J74" s="3" t="n">
        <v>-0.59</v>
      </c>
      <c r="K74" s="3" t="n">
        <v>-4.19</v>
      </c>
      <c r="L74" s="3" t="n">
        <v>0.3</v>
      </c>
      <c r="M74" s="3" t="n">
        <v>-0.6</v>
      </c>
      <c r="N74" s="3" t="n">
        <v>30.68</v>
      </c>
      <c r="O74" s="3" t="n">
        <v>24.9</v>
      </c>
      <c r="P74" s="3" t="n">
        <v>31.71</v>
      </c>
      <c r="Q74" s="3" t="n">
        <v>4735.71</v>
      </c>
      <c r="R74" s="3" t="n">
        <v>-6.4</v>
      </c>
      <c r="S74" s="3" t="n">
        <v>-11.49</v>
      </c>
      <c r="T74" s="3" t="n">
        <v>-9.85</v>
      </c>
      <c r="U74" s="3" t="n">
        <v>-11.79</v>
      </c>
      <c r="V74" s="3" t="n">
        <v>56.58</v>
      </c>
      <c r="W74" s="3" t="n">
        <v>41.97</v>
      </c>
      <c r="X74" s="3" t="n">
        <v>3.32</v>
      </c>
      <c r="Y74" s="3" t="n">
        <v>73.81999999999999</v>
      </c>
      <c r="Z74" s="3" t="n">
        <v>1.19</v>
      </c>
      <c r="AA74" s="3" t="n">
        <v>-6.82</v>
      </c>
      <c r="AB74" s="3" t="n">
        <v>0.59</v>
      </c>
      <c r="AC74" s="3" t="n">
        <v/>
      </c>
      <c r="AD74" s="3" t="n">
        <v>4.49</v>
      </c>
      <c r="AE74" s="3" t="n">
        <v>66.75</v>
      </c>
    </row>
    <row r="75">
      <c r="A75" s="4" t="inlineStr">
        <is>
          <t>2025-09-25 11:40:43</t>
        </is>
      </c>
      <c r="B75" s="5" t="n">
        <v>70.98999999999999</v>
      </c>
      <c r="C75" s="5" t="n">
        <v>84.16</v>
      </c>
      <c r="D75" s="5" t="n">
        <v>1.19</v>
      </c>
      <c r="E75" s="5" t="n">
        <v>110.44</v>
      </c>
      <c r="F75" s="5" t="n">
        <v>125.35</v>
      </c>
      <c r="G75" s="5" t="n">
        <v>8.789999999999999</v>
      </c>
      <c r="H75" s="5" t="n">
        <v>-6.22</v>
      </c>
      <c r="I75" s="5" t="n">
        <v>5</v>
      </c>
      <c r="J75" s="5" t="n">
        <v>-3.77</v>
      </c>
      <c r="K75" s="5" t="n">
        <v>-8.77</v>
      </c>
      <c r="L75" s="5" t="n">
        <v>-2.25</v>
      </c>
      <c r="M75" s="5" t="n">
        <v>-0.6</v>
      </c>
      <c r="N75" s="5" t="n">
        <v>28.25</v>
      </c>
      <c r="O75" s="5" t="n">
        <v>23.86</v>
      </c>
      <c r="P75" s="5" t="n">
        <v>30.22</v>
      </c>
      <c r="Q75" s="5" t="n">
        <v>3838.02</v>
      </c>
      <c r="R75" s="5" t="n">
        <v>-14.38</v>
      </c>
      <c r="S75" s="5" t="n">
        <v>-25.5</v>
      </c>
      <c r="T75" s="5" t="n">
        <v>-38.45</v>
      </c>
      <c r="U75" s="5" t="n">
        <v>-46.21</v>
      </c>
      <c r="V75" s="5" t="n">
        <v>54.93</v>
      </c>
      <c r="W75" s="5" t="n">
        <v>39.43</v>
      </c>
      <c r="X75" s="5" t="n">
        <v>4.79</v>
      </c>
      <c r="Y75" s="5" t="n">
        <v>78.25</v>
      </c>
      <c r="Z75" s="5" t="n">
        <v>1.18</v>
      </c>
      <c r="AA75" s="5" t="n">
        <v>-15.43</v>
      </c>
      <c r="AB75" s="5" t="n">
        <v>0.55</v>
      </c>
      <c r="AC75" s="5" t="n">
        <v/>
      </c>
      <c r="AD75" s="5" t="n">
        <v>4.43</v>
      </c>
      <c r="AE75" s="5" t="n">
        <v>68.22</v>
      </c>
    </row>
    <row r="76">
      <c r="A76" s="2" t="inlineStr">
        <is>
          <t>2025-09-25 11:38:42</t>
        </is>
      </c>
      <c r="B76" s="3" t="n">
        <v>69.08</v>
      </c>
      <c r="C76" s="3" t="n">
        <v>86.26000000000001</v>
      </c>
      <c r="D76" s="3" t="n">
        <v>1.25</v>
      </c>
      <c r="E76" s="3" t="n">
        <v>110.4</v>
      </c>
      <c r="F76" s="3" t="n">
        <v>118.59</v>
      </c>
      <c r="G76" s="3" t="n">
        <v>2.93</v>
      </c>
      <c r="H76" s="3" t="n">
        <v>-8.640000000000001</v>
      </c>
      <c r="I76" s="3" t="n">
        <v>1.2</v>
      </c>
      <c r="J76" s="3" t="n">
        <v>-0.4</v>
      </c>
      <c r="K76" s="3" t="n">
        <v>-1.6</v>
      </c>
      <c r="L76" s="3" t="n">
        <v>-0.01</v>
      </c>
      <c r="M76" s="3" t="n">
        <v>-2.8</v>
      </c>
      <c r="N76" s="3" t="n">
        <v>31.42</v>
      </c>
      <c r="O76" s="3" t="n">
        <v>24.51</v>
      </c>
      <c r="P76" s="3" t="n">
        <v>34.44</v>
      </c>
      <c r="Q76" s="3" t="n">
        <v>5907.73</v>
      </c>
      <c r="R76" s="3" t="n">
        <v>-2.33</v>
      </c>
      <c r="S76" s="3" t="n">
        <v>-5.1</v>
      </c>
      <c r="T76" s="3" t="n">
        <v>-5.19</v>
      </c>
      <c r="U76" s="3" t="n">
        <v>-5.82</v>
      </c>
      <c r="V76" s="3" t="n">
        <v>64.06</v>
      </c>
      <c r="W76" s="3" t="n">
        <v>44.74</v>
      </c>
      <c r="X76" s="3" t="n">
        <v>0.29</v>
      </c>
      <c r="Y76" s="3" t="n">
        <v>72.70999999999999</v>
      </c>
      <c r="Z76" s="3" t="n">
        <v>1.18</v>
      </c>
      <c r="AA76" s="3" t="n">
        <v>-2.5</v>
      </c>
      <c r="AB76" s="3" t="n">
        <v>2.52</v>
      </c>
      <c r="AC76" s="3" t="n">
        <v/>
      </c>
      <c r="AD76" s="3" t="n">
        <v>4.8</v>
      </c>
      <c r="AE76" s="3" t="n">
        <v>67.56999999999999</v>
      </c>
    </row>
    <row r="78">
      <c r="A78" s="6" t="inlineStr">
        <is>
          <t>Pos Av</t>
        </is>
      </c>
      <c r="B78" s="7">
        <f>IF(COUNTIF(B2:B76,"&gt;0"),AVERAGEIF(B2:B76,"&gt;0"),"—")</f>
        <v/>
      </c>
      <c r="C78" s="7">
        <f>IF(COUNTIF(C2:C76,"&gt;0"),AVERAGEIF(C2:C76,"&gt;0"),"—")</f>
        <v/>
      </c>
      <c r="D78" s="7">
        <f>IF(COUNTIF(D2:D76,"&gt;0"),AVERAGEIF(D2:D76,"&gt;0"),"—")</f>
        <v/>
      </c>
      <c r="E78" s="7">
        <f>IF(COUNTIF(E2:E76,"&gt;0"),AVERAGEIF(E2:E76,"&gt;0"),"—")</f>
        <v/>
      </c>
      <c r="F78" s="7">
        <f>IF(COUNTIF(F2:F76,"&gt;0"),AVERAGEIF(F2:F76,"&gt;0"),"—")</f>
        <v/>
      </c>
      <c r="G78" s="7">
        <f>IF(COUNTIF(G2:G76,"&gt;0"),AVERAGEIF(G2:G76,"&gt;0"),"—")</f>
        <v/>
      </c>
      <c r="H78" s="7">
        <f>IF(COUNTIF(H2:H76,"&gt;0"),AVERAGEIF(H2:H76,"&gt;0"),"—")</f>
        <v/>
      </c>
      <c r="I78" s="7">
        <f>IF(COUNTIF(I2:I76,"&gt;0"),AVERAGEIF(I2:I76,"&gt;0"),"—")</f>
        <v/>
      </c>
      <c r="J78" s="7">
        <f>IF(COUNTIF(J2:J76,"&gt;0"),AVERAGEIF(J2:J76,"&gt;0"),"—")</f>
        <v/>
      </c>
      <c r="K78" s="7">
        <f>IF(COUNTIF(K2:K76,"&gt;0"),AVERAGEIF(K2:K76,"&gt;0"),"—")</f>
        <v/>
      </c>
      <c r="L78" s="7">
        <f>IF(COUNTIF(L2:L76,"&gt;0"),AVERAGEIF(L2:L76,"&gt;0"),"—")</f>
        <v/>
      </c>
      <c r="M78" s="7">
        <f>IF(COUNTIF(M2:M76,"&gt;0"),AVERAGEIF(M2:M76,"&gt;0"),"—")</f>
        <v/>
      </c>
      <c r="N78" s="7">
        <f>IF(COUNTIF(N2:N76,"&gt;0"),AVERAGEIF(N2:N76,"&gt;0"),"—")</f>
        <v/>
      </c>
      <c r="O78" s="7">
        <f>IF(COUNTIF(O2:O76,"&gt;0"),AVERAGEIF(O2:O76,"&gt;0"),"—")</f>
        <v/>
      </c>
      <c r="P78" s="7">
        <f>IF(COUNTIF(P2:P76,"&gt;0"),AVERAGEIF(P2:P76,"&gt;0"),"—")</f>
        <v/>
      </c>
      <c r="Q78" s="7">
        <f>IF(COUNTIF(Q2:Q76,"&gt;0"),AVERAGEIF(Q2:Q76,"&gt;0"),"—")</f>
        <v/>
      </c>
      <c r="R78" s="7">
        <f>IF(COUNTIF(R2:R76,"&gt;0"),AVERAGEIF(R2:R76,"&gt;0"),"—")</f>
        <v/>
      </c>
      <c r="S78" s="7">
        <f>IF(COUNTIF(S2:S76,"&gt;0"),AVERAGEIF(S2:S76,"&gt;0"),"—")</f>
        <v/>
      </c>
      <c r="T78" s="7">
        <f>IF(COUNTIF(T2:T76,"&gt;0"),AVERAGEIF(T2:T76,"&gt;0"),"—")</f>
        <v/>
      </c>
      <c r="U78" s="7">
        <f>IF(COUNTIF(U2:U76,"&gt;0"),AVERAGEIF(U2:U76,"&gt;0"),"—")</f>
        <v/>
      </c>
      <c r="V78" s="7">
        <f>IF(COUNTIF(V2:V76,"&gt;0"),AVERAGEIF(V2:V76,"&gt;0"),"—")</f>
        <v/>
      </c>
      <c r="W78" s="7">
        <f>IF(COUNTIF(W2:W76,"&gt;0"),AVERAGEIF(W2:W76,"&gt;0"),"—")</f>
        <v/>
      </c>
      <c r="X78" s="7">
        <f>IF(COUNTIF(X2:X76,"&gt;0"),AVERAGEIF(X2:X76,"&gt;0"),"—")</f>
        <v/>
      </c>
      <c r="Y78" s="7">
        <f>IF(COUNTIF(Y2:Y76,"&gt;0"),AVERAGEIF(Y2:Y76,"&gt;0"),"—")</f>
        <v/>
      </c>
      <c r="Z78" s="7">
        <f>IF(COUNTIF(Z2:Z76,"&gt;0"),AVERAGEIF(Z2:Z76,"&gt;0"),"—")</f>
        <v/>
      </c>
      <c r="AA78" s="7">
        <f>IF(COUNTIF(AA2:AA76,"&gt;0"),AVERAGEIF(AA2:AA76,"&gt;0"),"—")</f>
        <v/>
      </c>
      <c r="AB78" s="7">
        <f>IF(COUNTIF(AB2:AB76,"&gt;0"),AVERAGEIF(AB2:AB76,"&gt;0"),"—")</f>
        <v/>
      </c>
      <c r="AC78" s="7">
        <f>IF(COUNTIF(AC2:AC76,"&gt;0"),AVERAGEIF(AC2:AC76,"&gt;0"),"—")</f>
        <v/>
      </c>
      <c r="AD78" s="7">
        <f>IF(COUNTIF(AD2:AD76,"&gt;0"),AVERAGEIF(AD2:AD76,"&gt;0"),"—")</f>
        <v/>
      </c>
      <c r="AE78" s="7">
        <f>IF(COUNTIF(AE2:AE76,"&gt;0"),AVERAGEIF(AE2:AE76,"&gt;0"),"—")</f>
        <v/>
      </c>
    </row>
    <row r="79">
      <c r="A79" s="6" t="inlineStr">
        <is>
          <t>Neg Av</t>
        </is>
      </c>
      <c r="B79" s="7">
        <f>IF(COUNTIF(B2:B76,"&lt;0"),AVERAGEIF(B2:B76,"&lt;0"),"—")</f>
        <v/>
      </c>
      <c r="C79" s="7">
        <f>IF(COUNTIF(C2:C76,"&lt;0"),AVERAGEIF(C2:C76,"&lt;0"),"—")</f>
        <v/>
      </c>
      <c r="D79" s="7">
        <f>IF(COUNTIF(D2:D76,"&lt;0"),AVERAGEIF(D2:D76,"&lt;0"),"—")</f>
        <v/>
      </c>
      <c r="E79" s="7">
        <f>IF(COUNTIF(E2:E76,"&lt;0"),AVERAGEIF(E2:E76,"&lt;0"),"—")</f>
        <v/>
      </c>
      <c r="F79" s="7">
        <f>IF(COUNTIF(F2:F76,"&lt;0"),AVERAGEIF(F2:F76,"&lt;0"),"—")</f>
        <v/>
      </c>
      <c r="G79" s="7">
        <f>IF(COUNTIF(G2:G76,"&lt;0"),AVERAGEIF(G2:G76,"&lt;0"),"—")</f>
        <v/>
      </c>
      <c r="H79" s="7">
        <f>IF(COUNTIF(H2:H76,"&lt;0"),AVERAGEIF(H2:H76,"&lt;0"),"—")</f>
        <v/>
      </c>
      <c r="I79" s="7">
        <f>IF(COUNTIF(I2:I76,"&lt;0"),AVERAGEIF(I2:I76,"&lt;0"),"—")</f>
        <v/>
      </c>
      <c r="J79" s="7">
        <f>IF(COUNTIF(J2:J76,"&lt;0"),AVERAGEIF(J2:J76,"&lt;0"),"—")</f>
        <v/>
      </c>
      <c r="K79" s="7">
        <f>IF(COUNTIF(K2:K76,"&lt;0"),AVERAGEIF(K2:K76,"&lt;0"),"—")</f>
        <v/>
      </c>
      <c r="L79" s="7">
        <f>IF(COUNTIF(L2:L76,"&lt;0"),AVERAGEIF(L2:L76,"&lt;0"),"—")</f>
        <v/>
      </c>
      <c r="M79" s="7">
        <f>IF(COUNTIF(M2:M76,"&lt;0"),AVERAGEIF(M2:M76,"&lt;0"),"—")</f>
        <v/>
      </c>
      <c r="N79" s="7">
        <f>IF(COUNTIF(N2:N76,"&lt;0"),AVERAGEIF(N2:N76,"&lt;0"),"—")</f>
        <v/>
      </c>
      <c r="O79" s="7">
        <f>IF(COUNTIF(O2:O76,"&lt;0"),AVERAGEIF(O2:O76,"&lt;0"),"—")</f>
        <v/>
      </c>
      <c r="P79" s="7">
        <f>IF(COUNTIF(P2:P76,"&lt;0"),AVERAGEIF(P2:P76,"&lt;0"),"—")</f>
        <v/>
      </c>
      <c r="Q79" s="7">
        <f>IF(COUNTIF(Q2:Q76,"&lt;0"),AVERAGEIF(Q2:Q76,"&lt;0"),"—")</f>
        <v/>
      </c>
      <c r="R79" s="7">
        <f>IF(COUNTIF(R2:R76,"&lt;0"),AVERAGEIF(R2:R76,"&lt;0"),"—")</f>
        <v/>
      </c>
      <c r="S79" s="7">
        <f>IF(COUNTIF(S2:S76,"&lt;0"),AVERAGEIF(S2:S76,"&lt;0"),"—")</f>
        <v/>
      </c>
      <c r="T79" s="7">
        <f>IF(COUNTIF(T2:T76,"&lt;0"),AVERAGEIF(T2:T76,"&lt;0"),"—")</f>
        <v/>
      </c>
      <c r="U79" s="7">
        <f>IF(COUNTIF(U2:U76,"&lt;0"),AVERAGEIF(U2:U76,"&lt;0"),"—")</f>
        <v/>
      </c>
      <c r="V79" s="7">
        <f>IF(COUNTIF(V2:V76,"&lt;0"),AVERAGEIF(V2:V76,"&lt;0"),"—")</f>
        <v/>
      </c>
      <c r="W79" s="7">
        <f>IF(COUNTIF(W2:W76,"&lt;0"),AVERAGEIF(W2:W76,"&lt;0"),"—")</f>
        <v/>
      </c>
      <c r="X79" s="7">
        <f>IF(COUNTIF(X2:X76,"&lt;0"),AVERAGEIF(X2:X76,"&lt;0"),"—")</f>
        <v/>
      </c>
      <c r="Y79" s="7">
        <f>IF(COUNTIF(Y2:Y76,"&lt;0"),AVERAGEIF(Y2:Y76,"&lt;0"),"—")</f>
        <v/>
      </c>
      <c r="Z79" s="7">
        <f>IF(COUNTIF(Z2:Z76,"&lt;0"),AVERAGEIF(Z2:Z76,"&lt;0"),"—")</f>
        <v/>
      </c>
      <c r="AA79" s="7">
        <f>IF(COUNTIF(AA2:AA76,"&lt;0"),AVERAGEIF(AA2:AA76,"&lt;0"),"—")</f>
        <v/>
      </c>
      <c r="AB79" s="7">
        <f>IF(COUNTIF(AB2:AB76,"&lt;0"),AVERAGEIF(AB2:AB76,"&lt;0"),"—")</f>
        <v/>
      </c>
      <c r="AC79" s="7">
        <f>IF(COUNTIF(AC2:AC76,"&lt;0"),AVERAGEIF(AC2:AC76,"&lt;0"),"—")</f>
        <v/>
      </c>
      <c r="AD79" s="7">
        <f>IF(COUNTIF(AD2:AD76,"&lt;0"),AVERAGEIF(AD2:AD76,"&lt;0"),"—")</f>
        <v/>
      </c>
      <c r="AE79" s="7">
        <f>IF(COUNTIF(AE2:AE76,"&lt;0"),AVERAGEIF(AE2:AE76,"&lt;0"),"—")</f>
        <v/>
      </c>
    </row>
    <row r="80">
      <c r="A80" s="6" t="inlineStr">
        <is>
          <t>1 Av</t>
        </is>
      </c>
      <c r="B80" s="7">
        <f>IF(COUNTA(B2:B76),AVERAGE(B2:B76),"—")</f>
        <v/>
      </c>
      <c r="C80" s="7">
        <f>IF(COUNTA(C2:C76),AVERAGE(C2:C76),"—")</f>
        <v/>
      </c>
      <c r="D80" s="7">
        <f>IF(COUNTA(D2:D76),AVERAGE(D2:D76),"—")</f>
        <v/>
      </c>
      <c r="E80" s="7">
        <f>IF(COUNTA(E2:E76),AVERAGE(E2:E76),"—")</f>
        <v/>
      </c>
      <c r="F80" s="7">
        <f>IF(COUNTA(F2:F76),AVERAGE(F2:F76),"—")</f>
        <v/>
      </c>
      <c r="G80" s="7">
        <f>IF(COUNTA(G2:G76),AVERAGE(G2:G76),"—")</f>
        <v/>
      </c>
      <c r="H80" s="7">
        <f>IF(COUNTA(H2:H76),AVERAGE(H2:H76),"—")</f>
        <v/>
      </c>
      <c r="I80" s="7">
        <f>IF(COUNTA(I2:I76),AVERAGE(I2:I76),"—")</f>
        <v/>
      </c>
      <c r="J80" s="7">
        <f>IF(COUNTA(J2:J76),AVERAGE(J2:J76),"—")</f>
        <v/>
      </c>
      <c r="K80" s="7">
        <f>IF(COUNTA(K2:K76),AVERAGE(K2:K76),"—")</f>
        <v/>
      </c>
      <c r="L80" s="7">
        <f>IF(COUNTA(L2:L76),AVERAGE(L2:L76),"—")</f>
        <v/>
      </c>
      <c r="M80" s="7">
        <f>IF(COUNTA(M2:M76),AVERAGE(M2:M76),"—")</f>
        <v/>
      </c>
      <c r="N80" s="7">
        <f>IF(COUNTA(N2:N76),AVERAGE(N2:N76),"—")</f>
        <v/>
      </c>
      <c r="O80" s="7">
        <f>IF(COUNTA(O2:O76),AVERAGE(O2:O76),"—")</f>
        <v/>
      </c>
      <c r="P80" s="7">
        <f>IF(COUNTA(P2:P76),AVERAGE(P2:P76),"—")</f>
        <v/>
      </c>
      <c r="Q80" s="7">
        <f>IF(COUNTA(Q2:Q76),AVERAGE(Q2:Q76),"—")</f>
        <v/>
      </c>
      <c r="R80" s="7">
        <f>IF(COUNTA(R2:R76),AVERAGE(R2:R76),"—")</f>
        <v/>
      </c>
      <c r="S80" s="7">
        <f>IF(COUNTA(S2:S76),AVERAGE(S2:S76),"—")</f>
        <v/>
      </c>
      <c r="T80" s="7">
        <f>IF(COUNTA(T2:T76),AVERAGE(T2:T76),"—")</f>
        <v/>
      </c>
      <c r="U80" s="7">
        <f>IF(COUNTA(U2:U76),AVERAGE(U2:U76),"—")</f>
        <v/>
      </c>
      <c r="V80" s="7">
        <f>IF(COUNTA(V2:V76),AVERAGE(V2:V76),"—")</f>
        <v/>
      </c>
      <c r="W80" s="7">
        <f>IF(COUNTA(W2:W76),AVERAGE(W2:W76),"—")</f>
        <v/>
      </c>
      <c r="X80" s="7">
        <f>IF(COUNTA(X2:X76),AVERAGE(X2:X76),"—")</f>
        <v/>
      </c>
      <c r="Y80" s="7">
        <f>IF(COUNTA(Y2:Y76),AVERAGE(Y2:Y76),"—")</f>
        <v/>
      </c>
      <c r="Z80" s="7">
        <f>IF(COUNTA(Z2:Z76),AVERAGE(Z2:Z76),"—")</f>
        <v/>
      </c>
      <c r="AA80" s="7">
        <f>IF(COUNTA(AA2:AA76),AVERAGE(AA2:AA76),"—")</f>
        <v/>
      </c>
      <c r="AB80" s="7">
        <f>IF(COUNTA(AB2:AB76),AVERAGE(AB2:AB76),"—")</f>
        <v/>
      </c>
      <c r="AC80" s="7">
        <f>IF(COUNTA(AC2:AC76),AVERAGE(AC2:AC76),"—")</f>
        <v/>
      </c>
      <c r="AD80" s="7">
        <f>IF(COUNTA(AD2:AD76),AVERAGE(AD2:AD76),"—")</f>
        <v/>
      </c>
      <c r="AE80" s="7">
        <f>IF(COUNTA(AE2:AE76),AVERAGE(AE2:AE76),"—")</f>
        <v/>
      </c>
    </row>
    <row r="81">
      <c r="A81" s="6" t="inlineStr">
        <is>
          <t>Spread</t>
        </is>
      </c>
      <c r="B81" s="7">
        <f>IF(AND(ISNUMBER(B78),ISNUMBER(B79)),B78-B79,"—")</f>
        <v/>
      </c>
      <c r="C81" s="7">
        <f>IF(AND(ISNUMBER(C78),ISNUMBER(C79)),C78-C79,"—")</f>
        <v/>
      </c>
      <c r="D81" s="7">
        <f>IF(AND(ISNUMBER(D78),ISNUMBER(D79)),D78-D79,"—")</f>
        <v/>
      </c>
      <c r="E81" s="7">
        <f>IF(AND(ISNUMBER(E78),ISNUMBER(E79)),E78-E79,"—")</f>
        <v/>
      </c>
      <c r="F81" s="7">
        <f>IF(AND(ISNUMBER(F78),ISNUMBER(F79)),F78-F79,"—")</f>
        <v/>
      </c>
      <c r="G81" s="7">
        <f>IF(AND(ISNUMBER(G78),ISNUMBER(G79)),G78-G79,"—")</f>
        <v/>
      </c>
      <c r="H81" s="7">
        <f>IF(AND(ISNUMBER(H78),ISNUMBER(H79)),H78-H79,"—")</f>
        <v/>
      </c>
      <c r="I81" s="7">
        <f>IF(AND(ISNUMBER(I78),ISNUMBER(I79)),I78-I79,"—")</f>
        <v/>
      </c>
      <c r="J81" s="7">
        <f>IF(AND(ISNUMBER(J78),ISNUMBER(J79)),J78-J79,"—")</f>
        <v/>
      </c>
      <c r="K81" s="7">
        <f>IF(AND(ISNUMBER(K78),ISNUMBER(K79)),K78-K79,"—")</f>
        <v/>
      </c>
      <c r="L81" s="7">
        <f>IF(AND(ISNUMBER(L78),ISNUMBER(L79)),L78-L79,"—")</f>
        <v/>
      </c>
      <c r="M81" s="7">
        <f>IF(AND(ISNUMBER(M78),ISNUMBER(M79)),M78-M79,"—")</f>
        <v/>
      </c>
      <c r="N81" s="7">
        <f>IF(AND(ISNUMBER(N78),ISNUMBER(N79)),N78-N79,"—")</f>
        <v/>
      </c>
      <c r="O81" s="7">
        <f>IF(AND(ISNUMBER(O78),ISNUMBER(O79)),O78-O79,"—")</f>
        <v/>
      </c>
      <c r="P81" s="7">
        <f>IF(AND(ISNUMBER(P78),ISNUMBER(P79)),P78-P79,"—")</f>
        <v/>
      </c>
      <c r="Q81" s="7">
        <f>IF(AND(ISNUMBER(Q78),ISNUMBER(Q79)),Q78-Q79,"—")</f>
        <v/>
      </c>
      <c r="R81" s="7">
        <f>IF(AND(ISNUMBER(R78),ISNUMBER(R79)),R78-R79,"—")</f>
        <v/>
      </c>
      <c r="S81" s="7">
        <f>IF(AND(ISNUMBER(S78),ISNUMBER(S79)),S78-S79,"—")</f>
        <v/>
      </c>
      <c r="T81" s="7">
        <f>IF(AND(ISNUMBER(T78),ISNUMBER(T79)),T78-T79,"—")</f>
        <v/>
      </c>
      <c r="U81" s="7">
        <f>IF(AND(ISNUMBER(U78),ISNUMBER(U79)),U78-U79,"—")</f>
        <v/>
      </c>
      <c r="V81" s="7">
        <f>IF(AND(ISNUMBER(V78),ISNUMBER(V79)),V78-V79,"—")</f>
        <v/>
      </c>
      <c r="W81" s="7">
        <f>IF(AND(ISNUMBER(W78),ISNUMBER(W79)),W78-W79,"—")</f>
        <v/>
      </c>
      <c r="X81" s="7">
        <f>IF(AND(ISNUMBER(X78),ISNUMBER(X79)),X78-X79,"—")</f>
        <v/>
      </c>
      <c r="Y81" s="7">
        <f>IF(AND(ISNUMBER(Y78),ISNUMBER(Y79)),Y78-Y79,"—")</f>
        <v/>
      </c>
      <c r="Z81" s="7">
        <f>IF(AND(ISNUMBER(Z78),ISNUMBER(Z79)),Z78-Z79,"—")</f>
        <v/>
      </c>
      <c r="AA81" s="7">
        <f>IF(AND(ISNUMBER(AA78),ISNUMBER(AA79)),AA78-AA79,"—")</f>
        <v/>
      </c>
      <c r="AB81" s="7">
        <f>IF(AND(ISNUMBER(AB78),ISNUMBER(AB79)),AB78-AB79,"—")</f>
        <v/>
      </c>
      <c r="AC81" s="7">
        <f>IF(AND(ISNUMBER(AC78),ISNUMBER(AC79)),AC78-AC79,"—")</f>
        <v/>
      </c>
      <c r="AD81" s="7">
        <f>IF(AND(ISNUMBER(AD78),ISNUMBER(AD79)),AD78-AD79,"—")</f>
        <v/>
      </c>
      <c r="AE81" s="7">
        <f>IF(AND(ISNUMBER(AE78),ISNUMBER(AE79)),AE78-AE79,"—")</f>
        <v/>
      </c>
    </row>
    <row r="82">
      <c r="A82" s="6" t="inlineStr">
        <is>
          <t>% Pos</t>
        </is>
      </c>
      <c r="B82" s="8">
        <f>IF(COUNTA(B2:B76),COUNTIF(B2:B76,"&gt;0")/COUNTA(B2:B76),"—")</f>
        <v/>
      </c>
      <c r="C82" s="8">
        <f>IF(COUNTA(C2:C76),COUNTIF(C2:C76,"&gt;0")/COUNTA(C2:C76),"—")</f>
        <v/>
      </c>
      <c r="D82" s="8">
        <f>IF(COUNTA(D2:D76),COUNTIF(D2:D76,"&gt;0")/COUNTA(D2:D76),"—")</f>
        <v/>
      </c>
      <c r="E82" s="8">
        <f>IF(COUNTA(E2:E76),COUNTIF(E2:E76,"&gt;0")/COUNTA(E2:E76),"—")</f>
        <v/>
      </c>
      <c r="F82" s="8">
        <f>IF(COUNTA(F2:F76),COUNTIF(F2:F76,"&gt;0")/COUNTA(F2:F76),"—")</f>
        <v/>
      </c>
      <c r="G82" s="8">
        <f>IF(COUNTA(G2:G76),COUNTIF(G2:G76,"&gt;0")/COUNTA(G2:G76),"—")</f>
        <v/>
      </c>
      <c r="H82" s="8">
        <f>IF(COUNTA(H2:H76),COUNTIF(H2:H76,"&gt;0")/COUNTA(H2:H76),"—")</f>
        <v/>
      </c>
      <c r="I82" s="8">
        <f>IF(COUNTA(I2:I76),COUNTIF(I2:I76,"&gt;0")/COUNTA(I2:I76),"—")</f>
        <v/>
      </c>
      <c r="J82" s="8">
        <f>IF(COUNTA(J2:J76),COUNTIF(J2:J76,"&gt;0")/COUNTA(J2:J76),"—")</f>
        <v/>
      </c>
      <c r="K82" s="8">
        <f>IF(COUNTA(K2:K76),COUNTIF(K2:K76,"&gt;0")/COUNTA(K2:K76),"—")</f>
        <v/>
      </c>
      <c r="L82" s="8">
        <f>IF(COUNTA(L2:L76),COUNTIF(L2:L76,"&gt;0")/COUNTA(L2:L76),"—")</f>
        <v/>
      </c>
      <c r="M82" s="8">
        <f>IF(COUNTA(M2:M76),COUNTIF(M2:M76,"&gt;0")/COUNTA(M2:M76),"—")</f>
        <v/>
      </c>
      <c r="N82" s="8">
        <f>IF(COUNTA(N2:N76),COUNTIF(N2:N76,"&gt;0")/COUNTA(N2:N76),"—")</f>
        <v/>
      </c>
      <c r="O82" s="8">
        <f>IF(COUNTA(O2:O76),COUNTIF(O2:O76,"&gt;0")/COUNTA(O2:O76),"—")</f>
        <v/>
      </c>
      <c r="P82" s="8">
        <f>IF(COUNTA(P2:P76),COUNTIF(P2:P76,"&gt;0")/COUNTA(P2:P76),"—")</f>
        <v/>
      </c>
      <c r="Q82" s="8">
        <f>IF(COUNTA(Q2:Q76),COUNTIF(Q2:Q76,"&gt;0")/COUNTA(Q2:Q76),"—")</f>
        <v/>
      </c>
      <c r="R82" s="8">
        <f>IF(COUNTA(R2:R76),COUNTIF(R2:R76,"&gt;0")/COUNTA(R2:R76),"—")</f>
        <v/>
      </c>
      <c r="S82" s="8">
        <f>IF(COUNTA(S2:S76),COUNTIF(S2:S76,"&gt;0")/COUNTA(S2:S76),"—")</f>
        <v/>
      </c>
      <c r="T82" s="8">
        <f>IF(COUNTA(T2:T76),COUNTIF(T2:T76,"&gt;0")/COUNTA(T2:T76),"—")</f>
        <v/>
      </c>
      <c r="U82" s="8">
        <f>IF(COUNTA(U2:U76),COUNTIF(U2:U76,"&gt;0")/COUNTA(U2:U76),"—")</f>
        <v/>
      </c>
      <c r="V82" s="8">
        <f>IF(COUNTA(V2:V76),COUNTIF(V2:V76,"&gt;0")/COUNTA(V2:V76),"—")</f>
        <v/>
      </c>
      <c r="W82" s="8">
        <f>IF(COUNTA(W2:W76),COUNTIF(W2:W76,"&gt;0")/COUNTA(W2:W76),"—")</f>
        <v/>
      </c>
      <c r="X82" s="8">
        <f>IF(COUNTA(X2:X76),COUNTIF(X2:X76,"&gt;0")/COUNTA(X2:X76),"—")</f>
        <v/>
      </c>
      <c r="Y82" s="8">
        <f>IF(COUNTA(Y2:Y76),COUNTIF(Y2:Y76,"&gt;0")/COUNTA(Y2:Y76),"—")</f>
        <v/>
      </c>
      <c r="Z82" s="8">
        <f>IF(COUNTA(Z2:Z76),COUNTIF(Z2:Z76,"&gt;0")/COUNTA(Z2:Z76),"—")</f>
        <v/>
      </c>
      <c r="AA82" s="8">
        <f>IF(COUNTA(AA2:AA76),COUNTIF(AA2:AA76,"&gt;0")/COUNTA(AA2:AA76),"—")</f>
        <v/>
      </c>
      <c r="AB82" s="8">
        <f>IF(COUNTA(AB2:AB76),COUNTIF(AB2:AB76,"&gt;0")/COUNTA(AB2:AB76),"—")</f>
        <v/>
      </c>
      <c r="AC82" s="8">
        <f>IF(COUNTA(AC2:AC76),COUNTIF(AC2:AC76,"&gt;0")/COUNTA(AC2:AC76),"—")</f>
        <v/>
      </c>
      <c r="AD82" s="8">
        <f>IF(COUNTA(AD2:AD76),COUNTIF(AD2:AD76,"&gt;0")/COUNTA(AD2:AD76),"—")</f>
        <v/>
      </c>
      <c r="AE82" s="8">
        <f>IF(COUNTA(AE2:AE76),COUNTIF(AE2:AE76,"&gt;0")/COUNTA(AE2:AE76),"—")</f>
        <v/>
      </c>
    </row>
    <row r="83">
      <c r="A83" s="6" t="inlineStr">
        <is>
          <t>% Neg</t>
        </is>
      </c>
      <c r="B83" s="8">
        <f>IF(COUNTA(B2:B76),COUNTIF(B2:B76,"&lt;0")/COUNTA(B2:B76),"—")</f>
        <v/>
      </c>
      <c r="C83" s="8">
        <f>IF(COUNTA(C2:C76),COUNTIF(C2:C76,"&lt;0")/COUNTA(C2:C76),"—")</f>
        <v/>
      </c>
      <c r="D83" s="8">
        <f>IF(COUNTA(D2:D76),COUNTIF(D2:D76,"&lt;0")/COUNTA(D2:D76),"—")</f>
        <v/>
      </c>
      <c r="E83" s="8">
        <f>IF(COUNTA(E2:E76),COUNTIF(E2:E76,"&lt;0")/COUNTA(E2:E76),"—")</f>
        <v/>
      </c>
      <c r="F83" s="8">
        <f>IF(COUNTA(F2:F76),COUNTIF(F2:F76,"&lt;0")/COUNTA(F2:F76),"—")</f>
        <v/>
      </c>
      <c r="G83" s="8">
        <f>IF(COUNTA(G2:G76),COUNTIF(G2:G76,"&lt;0")/COUNTA(G2:G76),"—")</f>
        <v/>
      </c>
      <c r="H83" s="8">
        <f>IF(COUNTA(H2:H76),COUNTIF(H2:H76,"&lt;0")/COUNTA(H2:H76),"—")</f>
        <v/>
      </c>
      <c r="I83" s="8">
        <f>IF(COUNTA(I2:I76),COUNTIF(I2:I76,"&lt;0")/COUNTA(I2:I76),"—")</f>
        <v/>
      </c>
      <c r="J83" s="8">
        <f>IF(COUNTA(J2:J76),COUNTIF(J2:J76,"&lt;0")/COUNTA(J2:J76),"—")</f>
        <v/>
      </c>
      <c r="K83" s="8">
        <f>IF(COUNTA(K2:K76),COUNTIF(K2:K76,"&lt;0")/COUNTA(K2:K76),"—")</f>
        <v/>
      </c>
      <c r="L83" s="8">
        <f>IF(COUNTA(L2:L76),COUNTIF(L2:L76,"&lt;0")/COUNTA(L2:L76),"—")</f>
        <v/>
      </c>
      <c r="M83" s="8">
        <f>IF(COUNTA(M2:M76),COUNTIF(M2:M76,"&lt;0")/COUNTA(M2:M76),"—")</f>
        <v/>
      </c>
      <c r="N83" s="8">
        <f>IF(COUNTA(N2:N76),COUNTIF(N2:N76,"&lt;0")/COUNTA(N2:N76),"—")</f>
        <v/>
      </c>
      <c r="O83" s="8">
        <f>IF(COUNTA(O2:O76),COUNTIF(O2:O76,"&lt;0")/COUNTA(O2:O76),"—")</f>
        <v/>
      </c>
      <c r="P83" s="8">
        <f>IF(COUNTA(P2:P76),COUNTIF(P2:P76,"&lt;0")/COUNTA(P2:P76),"—")</f>
        <v/>
      </c>
      <c r="Q83" s="8">
        <f>IF(COUNTA(Q2:Q76),COUNTIF(Q2:Q76,"&lt;0")/COUNTA(Q2:Q76),"—")</f>
        <v/>
      </c>
      <c r="R83" s="8">
        <f>IF(COUNTA(R2:R76),COUNTIF(R2:R76,"&lt;0")/COUNTA(R2:R76),"—")</f>
        <v/>
      </c>
      <c r="S83" s="8">
        <f>IF(COUNTA(S2:S76),COUNTIF(S2:S76,"&lt;0")/COUNTA(S2:S76),"—")</f>
        <v/>
      </c>
      <c r="T83" s="8">
        <f>IF(COUNTA(T2:T76),COUNTIF(T2:T76,"&lt;0")/COUNTA(T2:T76),"—")</f>
        <v/>
      </c>
      <c r="U83" s="8">
        <f>IF(COUNTA(U2:U76),COUNTIF(U2:U76,"&lt;0")/COUNTA(U2:U76),"—")</f>
        <v/>
      </c>
      <c r="V83" s="8">
        <f>IF(COUNTA(V2:V76),COUNTIF(V2:V76,"&lt;0")/COUNTA(V2:V76),"—")</f>
        <v/>
      </c>
      <c r="W83" s="8">
        <f>IF(COUNTA(W2:W76),COUNTIF(W2:W76,"&lt;0")/COUNTA(W2:W76),"—")</f>
        <v/>
      </c>
      <c r="X83" s="8">
        <f>IF(COUNTA(X2:X76),COUNTIF(X2:X76,"&lt;0")/COUNTA(X2:X76),"—")</f>
        <v/>
      </c>
      <c r="Y83" s="8">
        <f>IF(COUNTA(Y2:Y76),COUNTIF(Y2:Y76,"&lt;0")/COUNTA(Y2:Y76),"—")</f>
        <v/>
      </c>
      <c r="Z83" s="8">
        <f>IF(COUNTA(Z2:Z76),COUNTIF(Z2:Z76,"&lt;0")/COUNTA(Z2:Z76),"—")</f>
        <v/>
      </c>
      <c r="AA83" s="8">
        <f>IF(COUNTA(AA2:AA76),COUNTIF(AA2:AA76,"&lt;0")/COUNTA(AA2:AA76),"—")</f>
        <v/>
      </c>
      <c r="AB83" s="8">
        <f>IF(COUNTA(AB2:AB76),COUNTIF(AB2:AB76,"&lt;0")/COUNTA(AB2:AB76),"—")</f>
        <v/>
      </c>
      <c r="AC83" s="8">
        <f>IF(COUNTA(AC2:AC76),COUNTIF(AC2:AC76,"&lt;0")/COUNTA(AC2:AC76),"—")</f>
        <v/>
      </c>
      <c r="AD83" s="8">
        <f>IF(COUNTA(AD2:AD76),COUNTIF(AD2:AD76,"&lt;0")/COUNTA(AD2:AD76),"—")</f>
        <v/>
      </c>
      <c r="AE83" s="8">
        <f>IF(COUNTA(AE2:AE76),COUNTIF(AE2:AE76,"&lt;0")/COUNTA(AE2:AE76),"—")</f>
        <v/>
      </c>
    </row>
  </sheetData>
  <autoFilter ref="A1:AE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2025-11-07T18:54:44Z</dcterms:created>
  <dcterms:modified xsi:type="dcterms:W3CDTF">2025-11-07T18:54:53Z</dcterms:modified>
</cp:coreProperties>
</file>