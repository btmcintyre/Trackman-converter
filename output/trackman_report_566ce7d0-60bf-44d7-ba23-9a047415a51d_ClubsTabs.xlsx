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Wood" sheetId="1" state="visible" r:id="rId1"/>
    <sheet name="Driver" sheetId="2" state="visible" r:id="rId2"/>
    <sheet name="7Iron" sheetId="3" state="visible" r:id="rId3"/>
    <sheet name="PitchingWedge" sheetId="4" state="visible" r:id="rId4"/>
    <sheet name="All Data" sheetId="5" state="visible" r:id="rId5"/>
  </sheets>
  <definedNames>
    <definedName name="_xlnm._FilterDatabase" localSheetId="0" hidden="1">'5Wood'!$A$1:$AE$13</definedName>
    <definedName name="_xlnm._FilterDatabase" localSheetId="1" hidden="1">'Driver'!$A$1:$AE$23</definedName>
    <definedName name="_xlnm._FilterDatabase" localSheetId="2" hidden="1">'7Iron'!$A$1:$AE$13</definedName>
    <definedName name="_xlnm._FilterDatabase" localSheetId="3" hidden="1">'PitchingWedge'!$A$1:$AE$19</definedName>
    <definedName name="_xlnm._FilterDatabase" localSheetId="4" hidden="1">'All Data'!$A$1:$AG$65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4">
    <fill>
      <patternFill/>
    </fill>
    <fill>
      <patternFill patternType="gray125"/>
    </fill>
    <fill>
      <patternFill patternType="solid">
        <fgColor rgb="00F7F7F7"/>
        <bgColor rgb="00F7F7F7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  <xf numFmtId="2" fontId="0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right" vertical="center" shrinkToFit="1"/>
    </xf>
    <xf numFmtId="9" fontId="2" fillId="0" borderId="0" applyAlignment="1" pivotButton="0" quotePrefix="0" xfId="0">
      <alignment horizontal="right" vertical="center" shrinkToFit="1"/>
    </xf>
    <xf numFmtId="0" fontId="2" fillId="3" borderId="0" applyAlignment="1" pivotButton="0" quotePrefix="0" xfId="0">
      <alignment horizontal="right" vertical="center"/>
    </xf>
    <xf numFmtId="2" fontId="2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.5" customWidth="1" min="2" max="2"/>
    <col width="11.5" customWidth="1" min="3" max="3"/>
    <col width="9.4" customWidth="1" min="4" max="4"/>
    <col width="9.4" customWidth="1" min="5" max="5"/>
    <col width="9.4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24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9.4" customWidth="1" min="19" max="19"/>
    <col width="11.5" customWidth="1" min="20" max="20"/>
    <col width="11.5" customWidth="1" min="21" max="21"/>
    <col width="11.5" customWidth="1" min="22" max="22"/>
    <col width="13.5" customWidth="1" min="23" max="23"/>
    <col width="23" customWidth="1" min="24" max="24"/>
    <col width="11.5" customWidth="1" min="25" max="25"/>
    <col width="9.4" customWidth="1" min="26" max="26"/>
    <col width="9.4" customWidth="1" min="27" max="27"/>
    <col width="11.5" customWidth="1" min="28" max="28"/>
    <col width="11.5" customWidth="1" min="29" max="29"/>
    <col width="14" customWidth="1" min="30" max="30"/>
    <col width="11.5" customWidth="1" min="31" max="31"/>
  </cols>
  <sheetData>
    <row r="1" ht="3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2025-08-05 10:15:17</t>
        </is>
      </c>
      <c r="B2" s="3" t="n">
        <v>83.79000000000001</v>
      </c>
      <c r="C2" s="3" t="n">
        <v>121.09</v>
      </c>
      <c r="D2" s="3" t="n">
        <v>1.45</v>
      </c>
      <c r="E2" s="3" t="n">
        <v>180.54</v>
      </c>
      <c r="F2" s="3" t="n">
        <v>193.79</v>
      </c>
      <c r="G2" s="3" t="n">
        <v>2.37</v>
      </c>
      <c r="H2" s="3" t="n">
        <v>2.99</v>
      </c>
      <c r="I2" s="3" t="n">
        <v>4.2</v>
      </c>
      <c r="J2" s="3" t="n">
        <v>3.57</v>
      </c>
      <c r="K2" s="3" t="n">
        <v>-0.63</v>
      </c>
      <c r="L2" s="3" t="n">
        <v>3.69</v>
      </c>
      <c r="M2" s="3" t="n">
        <v>0.6</v>
      </c>
      <c r="N2" s="3" t="n">
        <v>19.77</v>
      </c>
      <c r="O2" s="3" t="n">
        <v>16.13</v>
      </c>
      <c r="P2" s="3" t="n">
        <v>19.24</v>
      </c>
      <c r="Q2" s="3" t="n">
        <v>4368.42</v>
      </c>
      <c r="R2" s="3" t="n">
        <v>-2.22</v>
      </c>
      <c r="S2" s="3" t="n">
        <v>-10.09</v>
      </c>
      <c r="T2" s="3" t="n">
        <v>24.76</v>
      </c>
      <c r="U2" s="3" t="n">
        <v>26.03</v>
      </c>
      <c r="V2" s="3" t="n">
        <v>87.61</v>
      </c>
      <c r="W2" s="3" t="n">
        <v>43.49</v>
      </c>
      <c r="X2" s="3" t="n">
        <v>4.21</v>
      </c>
      <c r="Y2" s="3" t="n">
        <v>52.84</v>
      </c>
      <c r="Z2" s="3" t="n">
        <v>1.14</v>
      </c>
      <c r="AA2" s="3" t="n">
        <v>-1.72</v>
      </c>
      <c r="AB2" s="3" t="n">
        <v>-1.3</v>
      </c>
      <c r="AC2" s="3" t="n">
        <v/>
      </c>
      <c r="AD2" s="3" t="n">
        <v>6.06</v>
      </c>
      <c r="AE2" s="3" t="n">
        <v>61.43</v>
      </c>
    </row>
    <row r="3">
      <c r="A3" s="4" t="inlineStr">
        <is>
          <t>2025-08-05 10:15:44</t>
        </is>
      </c>
      <c r="B3" s="5" t="n">
        <v>84</v>
      </c>
      <c r="C3" s="5" t="n">
        <v>120.22</v>
      </c>
      <c r="D3" s="5" t="n">
        <v>1.43</v>
      </c>
      <c r="E3" s="5" t="n">
        <v>116.15</v>
      </c>
      <c r="F3" s="5" t="n">
        <v>160.28</v>
      </c>
      <c r="G3" s="5" t="n">
        <v/>
      </c>
      <c r="H3" s="5" t="n">
        <v/>
      </c>
      <c r="I3" s="5" t="n">
        <v>5.7</v>
      </c>
      <c r="J3" s="5" t="n">
        <v>-8.300000000000001</v>
      </c>
      <c r="K3" s="5" t="n">
        <v>-14</v>
      </c>
      <c r="L3" s="5" t="n">
        <v>-5.25</v>
      </c>
      <c r="M3" s="5" t="n">
        <v>4.3</v>
      </c>
      <c r="N3" s="5" t="n">
        <v>9.029999999999999</v>
      </c>
      <c r="O3" s="5" t="n">
        <v>8.029999999999999</v>
      </c>
      <c r="P3" s="5" t="n">
        <v>14.61</v>
      </c>
      <c r="Q3" s="5" t="n">
        <v>3785.47</v>
      </c>
      <c r="R3" s="5" t="n">
        <v>-55.44</v>
      </c>
      <c r="S3" s="5" t="n">
        <v>-73.25</v>
      </c>
      <c r="T3" s="5" t="n">
        <v>-104.14</v>
      </c>
      <c r="U3" s="5" t="n">
        <v>-173.27</v>
      </c>
      <c r="V3" s="5" t="n">
        <v>17.5</v>
      </c>
      <c r="W3" s="5" t="n">
        <v>14.84</v>
      </c>
      <c r="X3" s="5" t="n">
        <v>7.58</v>
      </c>
      <c r="Y3" s="5" t="n">
        <v>65.13</v>
      </c>
      <c r="Z3" s="5" t="n">
        <v>1.47</v>
      </c>
      <c r="AA3" s="5" t="n">
        <v>-69.77</v>
      </c>
      <c r="AB3" s="5" t="n">
        <v>-4.69</v>
      </c>
      <c r="AC3" s="5" t="n">
        <v/>
      </c>
      <c r="AD3" s="5" t="n">
        <v>2.73</v>
      </c>
      <c r="AE3" s="5" t="n">
        <v/>
      </c>
    </row>
    <row r="4">
      <c r="A4" s="2" t="inlineStr">
        <is>
          <t>2025-08-05 10:16:05</t>
        </is>
      </c>
      <c r="B4" s="3" t="n">
        <v>84.59</v>
      </c>
      <c r="C4" s="3" t="n">
        <v>121.72</v>
      </c>
      <c r="D4" s="3" t="n">
        <v>1.44</v>
      </c>
      <c r="E4" s="3" t="n">
        <v>179.9</v>
      </c>
      <c r="F4" s="3" t="n">
        <v>196.01</v>
      </c>
      <c r="G4" s="3" t="n">
        <v>-7.2</v>
      </c>
      <c r="H4" s="3" t="n">
        <v>-0.45</v>
      </c>
      <c r="I4" s="3" t="n">
        <v>3</v>
      </c>
      <c r="J4" s="3" t="n">
        <v>-0.33</v>
      </c>
      <c r="K4" s="3" t="n">
        <v>-3.33</v>
      </c>
      <c r="L4" s="3" t="n">
        <v>0.33</v>
      </c>
      <c r="M4" s="3" t="n">
        <v>-1</v>
      </c>
      <c r="N4" s="3" t="n">
        <v>17.14</v>
      </c>
      <c r="O4" s="3" t="n">
        <v>13.67</v>
      </c>
      <c r="P4" s="3" t="n">
        <v>18.59</v>
      </c>
      <c r="Q4" s="3" t="n">
        <v>4268.6</v>
      </c>
      <c r="R4" s="3" t="n">
        <v>-8.19</v>
      </c>
      <c r="S4" s="3" t="n">
        <v>-35.52</v>
      </c>
      <c r="T4" s="3" t="n">
        <v>-32.46</v>
      </c>
      <c r="U4" s="3" t="n">
        <v>-38.01</v>
      </c>
      <c r="V4" s="3" t="n">
        <v>73.58</v>
      </c>
      <c r="W4" s="3" t="n">
        <v>39.23</v>
      </c>
      <c r="X4" s="3" t="n">
        <v>1.74</v>
      </c>
      <c r="Y4" s="3" t="n">
        <v>52.08</v>
      </c>
      <c r="Z4" s="3" t="n">
        <v>1.29</v>
      </c>
      <c r="AA4" s="3" t="n">
        <v>-9.93</v>
      </c>
      <c r="AB4" s="3" t="n">
        <v>0.59</v>
      </c>
      <c r="AC4" s="3" t="n">
        <v/>
      </c>
      <c r="AD4" s="3" t="n">
        <v>5.72</v>
      </c>
      <c r="AE4" s="3" t="n">
        <v>53.81</v>
      </c>
    </row>
    <row r="5">
      <c r="A5" s="4" t="inlineStr">
        <is>
          <t>2025-08-05 10:16:29</t>
        </is>
      </c>
      <c r="B5" s="5" t="n">
        <v>83.81999999999999</v>
      </c>
      <c r="C5" s="5" t="n">
        <v>119.96</v>
      </c>
      <c r="D5" s="5" t="n">
        <v>1.43</v>
      </c>
      <c r="E5" s="5" t="n">
        <v>175.02</v>
      </c>
      <c r="F5" s="5" t="n">
        <v>189.32</v>
      </c>
      <c r="G5" s="5" t="n">
        <v/>
      </c>
      <c r="H5" s="5" t="n">
        <v/>
      </c>
      <c r="I5" s="5" t="n">
        <v>3.5</v>
      </c>
      <c r="J5" s="5" t="n">
        <v>-0.18</v>
      </c>
      <c r="K5" s="5" t="n">
        <v>-3.68</v>
      </c>
      <c r="L5" s="5" t="n">
        <v>0.57</v>
      </c>
      <c r="M5" s="5" t="n">
        <v>-1.1</v>
      </c>
      <c r="N5" s="5" t="n">
        <v>18.17</v>
      </c>
      <c r="O5" s="5" t="n">
        <v>14.35</v>
      </c>
      <c r="P5" s="5" t="n">
        <v>19.6</v>
      </c>
      <c r="Q5" s="5" t="n">
        <v>4634.11</v>
      </c>
      <c r="R5" s="5" t="n">
        <v>-8.94</v>
      </c>
      <c r="S5" s="5" t="n">
        <v>-38.56</v>
      </c>
      <c r="T5" s="5" t="n">
        <v>-33.32</v>
      </c>
      <c r="U5" s="5" t="n">
        <v>-38.59</v>
      </c>
      <c r="V5" s="5" t="n">
        <v>75.73</v>
      </c>
      <c r="W5" s="5" t="n">
        <v>40.65</v>
      </c>
      <c r="X5" s="5" t="n">
        <v>2.66</v>
      </c>
      <c r="Y5" s="5" t="n">
        <v>54.6</v>
      </c>
      <c r="Z5" s="5" t="n">
        <v>1.43</v>
      </c>
      <c r="AA5" s="5" t="n">
        <v>-10.32</v>
      </c>
      <c r="AB5" s="5" t="n">
        <v>1.34</v>
      </c>
      <c r="AC5" s="5" t="n">
        <v/>
      </c>
      <c r="AD5" s="5" t="n">
        <v>5.75</v>
      </c>
      <c r="AE5" s="5" t="n">
        <v/>
      </c>
    </row>
    <row r="6">
      <c r="A6" s="2" t="inlineStr">
        <is>
          <t>2025-08-05 10:17:00</t>
        </is>
      </c>
      <c r="B6" s="3" t="n">
        <v>84.48999999999999</v>
      </c>
      <c r="C6" s="3" t="n">
        <v>107.88</v>
      </c>
      <c r="D6" s="3" t="n">
        <v>1.28</v>
      </c>
      <c r="E6" s="3" t="n">
        <v>159.38</v>
      </c>
      <c r="F6" s="3" t="n">
        <v>180.7</v>
      </c>
      <c r="G6" s="3" t="n">
        <v/>
      </c>
      <c r="H6" s="3" t="n">
        <v/>
      </c>
      <c r="I6" s="3" t="n">
        <v>7.3</v>
      </c>
      <c r="J6" s="3" t="n">
        <v>5.33</v>
      </c>
      <c r="K6" s="3" t="n">
        <v>-1.97</v>
      </c>
      <c r="L6" s="3" t="n">
        <v>5.65</v>
      </c>
      <c r="M6" s="3" t="n">
        <v>1.9</v>
      </c>
      <c r="N6" s="3" t="n">
        <v>19.8</v>
      </c>
      <c r="O6" s="3" t="n">
        <v>16.93</v>
      </c>
      <c r="P6" s="3" t="n">
        <v>17.95</v>
      </c>
      <c r="Q6" s="3" t="n">
        <v>3084.79</v>
      </c>
      <c r="R6" s="3" t="n">
        <v>-4.63</v>
      </c>
      <c r="S6" s="3" t="n">
        <v>-13.73</v>
      </c>
      <c r="T6" s="3" t="n">
        <v>33.39</v>
      </c>
      <c r="U6" s="3" t="n">
        <v>36.29</v>
      </c>
      <c r="V6" s="3" t="n">
        <v>62.38</v>
      </c>
      <c r="W6" s="3" t="n">
        <v>35.51</v>
      </c>
      <c r="X6" s="3" t="n">
        <v>8.06</v>
      </c>
      <c r="Y6" s="3" t="n">
        <v>66.64</v>
      </c>
      <c r="Z6" s="3" t="n">
        <v>1.43</v>
      </c>
      <c r="AA6" s="3" t="n">
        <v>-5.79</v>
      </c>
      <c r="AB6" s="3" t="n">
        <v>-2.05</v>
      </c>
      <c r="AC6" s="3" t="n">
        <v/>
      </c>
      <c r="AD6" s="3" t="n">
        <v>5.09</v>
      </c>
      <c r="AE6" s="3" t="n">
        <v/>
      </c>
    </row>
    <row r="7">
      <c r="A7" s="4" t="inlineStr">
        <is>
          <t>2025-08-05 10:17:17</t>
        </is>
      </c>
      <c r="B7" s="5" t="n">
        <v>84.23</v>
      </c>
      <c r="C7" s="5" t="n">
        <v>120.85</v>
      </c>
      <c r="D7" s="5" t="n">
        <v>1.43</v>
      </c>
      <c r="E7" s="5" t="n">
        <v>181.06</v>
      </c>
      <c r="F7" s="5" t="n">
        <v>195.01</v>
      </c>
      <c r="G7" s="5" t="n">
        <v>-0.64</v>
      </c>
      <c r="H7" s="5" t="n">
        <v>1.82</v>
      </c>
      <c r="I7" s="5" t="n">
        <v>4.2</v>
      </c>
      <c r="J7" s="5" t="n">
        <v>4.52</v>
      </c>
      <c r="K7" s="5" t="n">
        <v>0.32</v>
      </c>
      <c r="L7" s="5" t="n">
        <v>4.47</v>
      </c>
      <c r="M7" s="5" t="n">
        <v>0</v>
      </c>
      <c r="N7" s="5" t="n">
        <v>19.58</v>
      </c>
      <c r="O7" s="5" t="n">
        <v>16.07</v>
      </c>
      <c r="P7" s="5" t="n">
        <v>19.7</v>
      </c>
      <c r="Q7" s="5" t="n">
        <v>4215.28</v>
      </c>
      <c r="R7" s="5" t="n">
        <v>0.31</v>
      </c>
      <c r="S7" s="5" t="n">
        <v>1.38</v>
      </c>
      <c r="T7" s="5" t="n">
        <v>43.69</v>
      </c>
      <c r="U7" s="5" t="n">
        <v>47.14</v>
      </c>
      <c r="V7" s="5" t="n">
        <v>86.22</v>
      </c>
      <c r="W7" s="5" t="n">
        <v>42.9</v>
      </c>
      <c r="X7" s="5" t="n">
        <v>3.78</v>
      </c>
      <c r="Y7" s="5" t="n">
        <v>50.1</v>
      </c>
      <c r="Z7" s="5" t="n">
        <v>1.16</v>
      </c>
      <c r="AA7" s="5" t="n">
        <v>0.73</v>
      </c>
      <c r="AB7" s="5" t="n">
        <v>-0.63</v>
      </c>
      <c r="AC7" s="5" t="n">
        <v/>
      </c>
      <c r="AD7" s="5" t="n">
        <v>6.02</v>
      </c>
      <c r="AE7" s="5" t="n">
        <v>58.55</v>
      </c>
    </row>
    <row r="8">
      <c r="A8" s="2" t="inlineStr">
        <is>
          <t>2025-08-05 10:18:18</t>
        </is>
      </c>
      <c r="B8" s="3" t="n">
        <v>84.8</v>
      </c>
      <c r="C8" s="3" t="n">
        <v>119.14</v>
      </c>
      <c r="D8" s="3" t="n">
        <v>1.41</v>
      </c>
      <c r="E8" s="3" t="n">
        <v>181.29</v>
      </c>
      <c r="F8" s="3" t="n">
        <v>200.73</v>
      </c>
      <c r="G8" s="3" t="n">
        <v>4.39</v>
      </c>
      <c r="H8" s="3" t="n">
        <v>-0.04</v>
      </c>
      <c r="I8" s="3" t="n">
        <v>5.8</v>
      </c>
      <c r="J8" s="3" t="n">
        <v>2.68</v>
      </c>
      <c r="K8" s="3" t="n">
        <v>-3.12</v>
      </c>
      <c r="L8" s="3" t="n">
        <v>3.2</v>
      </c>
      <c r="M8" s="3" t="n">
        <v>0.2</v>
      </c>
      <c r="N8" s="3" t="n">
        <v>18.28</v>
      </c>
      <c r="O8" s="3" t="n">
        <v>15.47</v>
      </c>
      <c r="P8" s="3" t="n">
        <v>18.38</v>
      </c>
      <c r="Q8" s="3" t="n">
        <v>3367.41</v>
      </c>
      <c r="R8" s="3" t="n">
        <v>-8.84</v>
      </c>
      <c r="S8" s="3" t="n">
        <v>-34.46</v>
      </c>
      <c r="T8" s="3" t="n">
        <v>-4.11</v>
      </c>
      <c r="U8" s="3" t="n">
        <v>-7.7</v>
      </c>
      <c r="V8" s="3" t="n">
        <v>73.39</v>
      </c>
      <c r="W8" s="3" t="n">
        <v>37.82</v>
      </c>
      <c r="X8" s="3" t="n">
        <v>5.64</v>
      </c>
      <c r="Y8" s="3" t="n">
        <v>58.8</v>
      </c>
      <c r="Z8" s="3" t="n">
        <v>1.18</v>
      </c>
      <c r="AA8" s="3" t="n">
        <v>-9.65</v>
      </c>
      <c r="AB8" s="3" t="n">
        <v>-0.9399999999999999</v>
      </c>
      <c r="AC8" s="3" t="n">
        <v/>
      </c>
      <c r="AD8" s="3" t="n">
        <v>5.62</v>
      </c>
      <c r="AE8" s="3" t="n">
        <v>57.86</v>
      </c>
    </row>
    <row r="9">
      <c r="A9" s="4" t="inlineStr">
        <is>
          <t>2025-08-05 10:18:38</t>
        </is>
      </c>
      <c r="B9" s="5" t="n">
        <v>86.17</v>
      </c>
      <c r="C9" s="5" t="n">
        <v>122.54</v>
      </c>
      <c r="D9" s="5" t="n">
        <v>1.42</v>
      </c>
      <c r="E9" s="5" t="n">
        <v>186.57</v>
      </c>
      <c r="F9" s="5" t="n">
        <v>207.4</v>
      </c>
      <c r="G9" s="5" t="n">
        <v/>
      </c>
      <c r="H9" s="5" t="n">
        <v/>
      </c>
      <c r="I9" s="5" t="n">
        <v>2.5</v>
      </c>
      <c r="J9" s="5" t="n">
        <v>-2.84</v>
      </c>
      <c r="K9" s="5" t="n">
        <v>-5.34</v>
      </c>
      <c r="L9" s="5" t="n">
        <v>-2.05</v>
      </c>
      <c r="M9" s="5" t="n">
        <v>-1.5</v>
      </c>
      <c r="N9" s="5" t="n">
        <v>16.92</v>
      </c>
      <c r="O9" s="5" t="n">
        <v>14.3</v>
      </c>
      <c r="P9" s="5" t="n">
        <v>19.2</v>
      </c>
      <c r="Q9" s="5" t="n">
        <v>3315.44</v>
      </c>
      <c r="R9" s="5" t="n">
        <v>-12.42</v>
      </c>
      <c r="S9" s="5" t="n">
        <v>-49.62</v>
      </c>
      <c r="T9" s="5" t="n">
        <v>-69.55</v>
      </c>
      <c r="U9" s="5" t="n">
        <v>-82.20999999999999</v>
      </c>
      <c r="V9" s="5" t="n">
        <v>70.48999999999999</v>
      </c>
      <c r="W9" s="5" t="n">
        <v>36.32</v>
      </c>
      <c r="X9" s="5" t="n">
        <v>1.58</v>
      </c>
      <c r="Y9" s="5" t="n">
        <v>61.34</v>
      </c>
      <c r="Z9" s="5" t="n">
        <v>1.4</v>
      </c>
      <c r="AA9" s="5" t="n">
        <v>-15.5</v>
      </c>
      <c r="AB9" s="5" t="n">
        <v>1.69</v>
      </c>
      <c r="AC9" s="5" t="n">
        <v/>
      </c>
      <c r="AD9" s="5" t="n">
        <v>5.59</v>
      </c>
      <c r="AE9" s="5" t="n">
        <v/>
      </c>
    </row>
    <row r="10">
      <c r="A10" s="2" t="inlineStr">
        <is>
          <t>2025-08-05 10:18:59</t>
        </is>
      </c>
      <c r="B10" s="3" t="n">
        <v>86.13</v>
      </c>
      <c r="C10" s="3" t="n">
        <v>123.3</v>
      </c>
      <c r="D10" s="3" t="n">
        <v>1.43</v>
      </c>
      <c r="E10" s="3" t="n">
        <v>183.91</v>
      </c>
      <c r="F10" s="3" t="n">
        <v>198.67</v>
      </c>
      <c r="G10" s="3" t="n">
        <v>-1.9</v>
      </c>
      <c r="H10" s="3" t="n">
        <v>-11.38</v>
      </c>
      <c r="I10" s="3" t="n">
        <v>0</v>
      </c>
      <c r="J10" s="3" t="n">
        <v>-1.8</v>
      </c>
      <c r="K10" s="3" t="n">
        <v>-1.8</v>
      </c>
      <c r="L10" s="3" t="n">
        <v>-1.5</v>
      </c>
      <c r="M10" s="3" t="n">
        <v>-2.6</v>
      </c>
      <c r="N10" s="3" t="n">
        <v>17.73</v>
      </c>
      <c r="O10" s="3" t="n">
        <v>14.21</v>
      </c>
      <c r="P10" s="3" t="n">
        <v>20.41</v>
      </c>
      <c r="Q10" s="3" t="n">
        <v>4327.14</v>
      </c>
      <c r="R10" s="3" t="n">
        <v>-0.52</v>
      </c>
      <c r="S10" s="3" t="n">
        <v>-2.39</v>
      </c>
      <c r="T10" s="3" t="n">
        <v>-16.85</v>
      </c>
      <c r="U10" s="3" t="n">
        <v>-18.36</v>
      </c>
      <c r="V10" s="3" t="n">
        <v>80.59999999999999</v>
      </c>
      <c r="W10" s="3" t="n">
        <v>41.26</v>
      </c>
      <c r="X10" s="3" t="n">
        <v>-2.65</v>
      </c>
      <c r="Y10" s="3" t="n">
        <v>50.58</v>
      </c>
      <c r="Z10" s="3" t="n">
        <v>1.29</v>
      </c>
      <c r="AA10" s="3" t="n">
        <v>-4.49</v>
      </c>
      <c r="AB10" s="3" t="n">
        <v>2.32</v>
      </c>
      <c r="AC10" s="3" t="n">
        <v/>
      </c>
      <c r="AD10" s="3" t="n">
        <v>5.94</v>
      </c>
      <c r="AE10" s="3" t="n">
        <v>58.24</v>
      </c>
    </row>
    <row r="11">
      <c r="A11" s="4" t="inlineStr">
        <is>
          <t>2025-08-05 10:19:23</t>
        </is>
      </c>
      <c r="B11" s="5" t="n">
        <v>85.56</v>
      </c>
      <c r="C11" s="5" t="n">
        <v>123.05</v>
      </c>
      <c r="D11" s="5" t="n">
        <v>1.44</v>
      </c>
      <c r="E11" s="5" t="n">
        <v>184.81</v>
      </c>
      <c r="F11" s="5" t="n">
        <v>199.42</v>
      </c>
      <c r="G11" s="5" t="n">
        <v>4.29</v>
      </c>
      <c r="H11" s="5" t="n">
        <v>-4.57</v>
      </c>
      <c r="I11" s="5" t="n">
        <v>2.1</v>
      </c>
      <c r="J11" s="5" t="n">
        <v>1.28</v>
      </c>
      <c r="K11" s="5" t="n">
        <v>-0.82</v>
      </c>
      <c r="L11" s="5" t="n">
        <v>1.41</v>
      </c>
      <c r="M11" s="5" t="n">
        <v>-1.7</v>
      </c>
      <c r="N11" s="5" t="n">
        <v>18.41</v>
      </c>
      <c r="O11" s="5" t="n">
        <v>14.98</v>
      </c>
      <c r="P11" s="5" t="n">
        <v>20.32</v>
      </c>
      <c r="Q11" s="5" t="n">
        <v>4201</v>
      </c>
      <c r="R11" s="5" t="n">
        <v>-0.92</v>
      </c>
      <c r="S11" s="5" t="n">
        <v>-4.22</v>
      </c>
      <c r="T11" s="5" t="n">
        <v>9.44</v>
      </c>
      <c r="U11" s="5" t="n">
        <v>9.92</v>
      </c>
      <c r="V11" s="5" t="n">
        <v>83.91</v>
      </c>
      <c r="W11" s="5" t="n">
        <v>41.98</v>
      </c>
      <c r="X11" s="5" t="n">
        <v>0.75</v>
      </c>
      <c r="Y11" s="5" t="n">
        <v>55.98</v>
      </c>
      <c r="Z11" s="5" t="n">
        <v>1.44</v>
      </c>
      <c r="AA11" s="5" t="n">
        <v>-2.06</v>
      </c>
      <c r="AB11" s="5" t="n">
        <v>2.24</v>
      </c>
      <c r="AC11" s="5" t="n">
        <v/>
      </c>
      <c r="AD11" s="5" t="n">
        <v>6.01</v>
      </c>
      <c r="AE11" s="5" t="n">
        <v>59.27</v>
      </c>
    </row>
    <row r="12">
      <c r="A12" s="2" t="inlineStr">
        <is>
          <t>2025-08-05 10:19:45</t>
        </is>
      </c>
      <c r="B12" s="3" t="n">
        <v>85.89</v>
      </c>
      <c r="C12" s="3" t="n">
        <v>122.05</v>
      </c>
      <c r="D12" s="3" t="n">
        <v>1.42</v>
      </c>
      <c r="E12" s="3" t="n">
        <v>182.85</v>
      </c>
      <c r="F12" s="3" t="n">
        <v>196.75</v>
      </c>
      <c r="G12" s="3" t="n">
        <v>-0.08</v>
      </c>
      <c r="H12" s="3" t="n">
        <v>-13.99</v>
      </c>
      <c r="I12" s="3" t="n">
        <v>1.5</v>
      </c>
      <c r="J12" s="3" t="n">
        <v>-1.7</v>
      </c>
      <c r="K12" s="3" t="n">
        <v>-3.2</v>
      </c>
      <c r="L12" s="3" t="n">
        <v>-1.16</v>
      </c>
      <c r="M12" s="3" t="n">
        <v>-2.5</v>
      </c>
      <c r="N12" s="3" t="n">
        <v>19.19</v>
      </c>
      <c r="O12" s="3" t="n">
        <v>15.71</v>
      </c>
      <c r="P12" s="3" t="n">
        <v>21.93</v>
      </c>
      <c r="Q12" s="3" t="n">
        <v>4261.28</v>
      </c>
      <c r="R12" s="3" t="n">
        <v>-3.22</v>
      </c>
      <c r="S12" s="3" t="n">
        <v>-14.73</v>
      </c>
      <c r="T12" s="3" t="n">
        <v>-25.85</v>
      </c>
      <c r="U12" s="3" t="n">
        <v>-28.66</v>
      </c>
      <c r="V12" s="3" t="n">
        <v>86.42</v>
      </c>
      <c r="W12" s="3" t="n">
        <v>42.86</v>
      </c>
      <c r="X12" s="3" t="n">
        <v>-0.23</v>
      </c>
      <c r="Y12" s="3" t="n">
        <v>56.6</v>
      </c>
      <c r="Z12" s="3" t="n">
        <v>1.4</v>
      </c>
      <c r="AA12" s="3" t="n">
        <v>-7.96</v>
      </c>
      <c r="AB12" s="3" t="n">
        <v>2.91</v>
      </c>
      <c r="AC12" s="3" t="n">
        <v/>
      </c>
      <c r="AD12" s="3" t="n">
        <v>6.05</v>
      </c>
      <c r="AE12" s="3" t="n">
        <v>61.57</v>
      </c>
    </row>
    <row r="13">
      <c r="A13" s="4" t="inlineStr">
        <is>
          <t>2025-08-05 10:20:06</t>
        </is>
      </c>
      <c r="B13" s="5" t="n">
        <v>85.43000000000001</v>
      </c>
      <c r="C13" s="5" t="n">
        <v>116.29</v>
      </c>
      <c r="D13" s="5" t="n">
        <v>1.36</v>
      </c>
      <c r="E13" s="5" t="n">
        <v>177.39</v>
      </c>
      <c r="F13" s="5" t="n">
        <v>199.85</v>
      </c>
      <c r="G13" s="5" t="n">
        <v>3.25</v>
      </c>
      <c r="H13" s="5" t="n">
        <v>-11.65</v>
      </c>
      <c r="I13" s="5" t="n">
        <v>3</v>
      </c>
      <c r="J13" s="5" t="n">
        <v>-0.82</v>
      </c>
      <c r="K13" s="5" t="n">
        <v>-3.82</v>
      </c>
      <c r="L13" s="5" t="n">
        <v>-0.28</v>
      </c>
      <c r="M13" s="5" t="n">
        <v>-0.2</v>
      </c>
      <c r="N13" s="5" t="n">
        <v>18.27</v>
      </c>
      <c r="O13" s="5" t="n">
        <v>15.79</v>
      </c>
      <c r="P13" s="5" t="n">
        <v>18.96</v>
      </c>
      <c r="Q13" s="5" t="n">
        <v>2935.05</v>
      </c>
      <c r="R13" s="5" t="n">
        <v>-6.71</v>
      </c>
      <c r="S13" s="5" t="n">
        <v>-23.02</v>
      </c>
      <c r="T13" s="5" t="n">
        <v>-25.6</v>
      </c>
      <c r="U13" s="5" t="n">
        <v>-31.43</v>
      </c>
      <c r="V13" s="5" t="n">
        <v>67.15000000000001</v>
      </c>
      <c r="W13" s="5" t="n">
        <v>35.38</v>
      </c>
      <c r="X13" s="5" t="n">
        <v>2.56</v>
      </c>
      <c r="Y13" s="5" t="n">
        <v>64.36</v>
      </c>
      <c r="Z13" s="5" t="n">
        <v>1.25</v>
      </c>
      <c r="AA13" s="5" t="n">
        <v>-11.24</v>
      </c>
      <c r="AB13" s="5" t="n">
        <v>-0.55</v>
      </c>
      <c r="AC13" s="5" t="n">
        <v/>
      </c>
      <c r="AD13" s="5" t="n">
        <v>5.37</v>
      </c>
      <c r="AE13" s="5" t="n">
        <v>57.82</v>
      </c>
    </row>
    <row r="15">
      <c r="A15" s="6" t="inlineStr">
        <is>
          <t>Pos Av</t>
        </is>
      </c>
      <c r="B15" s="7">
        <f>IF(COUNTIF(B2:B13,"&gt;0"),AVERAGEIF(B2:B13,"&gt;0"),"—")</f>
        <v/>
      </c>
      <c r="C15" s="7">
        <f>IF(COUNTIF(C2:C13,"&gt;0"),AVERAGEIF(C2:C13,"&gt;0"),"—")</f>
        <v/>
      </c>
      <c r="D15" s="7">
        <f>IF(COUNTIF(D2:D13,"&gt;0"),AVERAGEIF(D2:D13,"&gt;0"),"—")</f>
        <v/>
      </c>
      <c r="E15" s="7">
        <f>IF(COUNTIF(E2:E13,"&gt;0"),AVERAGEIF(E2:E13,"&gt;0"),"—")</f>
        <v/>
      </c>
      <c r="F15" s="7">
        <f>IF(COUNTIF(F2:F13,"&gt;0"),AVERAGEIF(F2:F13,"&gt;0"),"—")</f>
        <v/>
      </c>
      <c r="G15" s="7">
        <f>IF(COUNTIF(G2:G13,"&gt;0"),AVERAGEIF(G2:G13,"&gt;0"),"—")</f>
        <v/>
      </c>
      <c r="H15" s="7">
        <f>IF(COUNTIF(H2:H13,"&gt;0"),AVERAGEIF(H2:H13,"&gt;0"),"—")</f>
        <v/>
      </c>
      <c r="I15" s="7">
        <f>IF(COUNTIF(I2:I13,"&gt;0"),AVERAGEIF(I2:I13,"&gt;0"),"—")</f>
        <v/>
      </c>
      <c r="J15" s="7">
        <f>IF(COUNTIF(J2:J13,"&gt;0"),AVERAGEIF(J2:J13,"&gt;0"),"—")</f>
        <v/>
      </c>
      <c r="K15" s="7">
        <f>IF(COUNTIF(K2:K13,"&gt;0"),AVERAGEIF(K2:K13,"&gt;0"),"—")</f>
        <v/>
      </c>
      <c r="L15" s="7">
        <f>IF(COUNTIF(L2:L13,"&gt;0"),AVERAGEIF(L2:L13,"&gt;0"),"—")</f>
        <v/>
      </c>
      <c r="M15" s="7">
        <f>IF(COUNTIF(M2:M13,"&gt;0"),AVERAGEIF(M2:M13,"&gt;0"),"—")</f>
        <v/>
      </c>
      <c r="N15" s="7">
        <f>IF(COUNTIF(N2:N13,"&gt;0"),AVERAGEIF(N2:N13,"&gt;0"),"—")</f>
        <v/>
      </c>
      <c r="O15" s="7">
        <f>IF(COUNTIF(O2:O13,"&gt;0"),AVERAGEIF(O2:O13,"&gt;0"),"—")</f>
        <v/>
      </c>
      <c r="P15" s="7">
        <f>IF(COUNTIF(P2:P13,"&gt;0"),AVERAGEIF(P2:P13,"&gt;0"),"—")</f>
        <v/>
      </c>
      <c r="Q15" s="7">
        <f>IF(COUNTIF(Q2:Q13,"&gt;0"),AVERAGEIF(Q2:Q13,"&gt;0"),"—")</f>
        <v/>
      </c>
      <c r="R15" s="7">
        <f>IF(COUNTIF(R2:R13,"&gt;0"),AVERAGEIF(R2:R13,"&gt;0"),"—")</f>
        <v/>
      </c>
      <c r="S15" s="7">
        <f>IF(COUNTIF(S2:S13,"&gt;0"),AVERAGEIF(S2:S13,"&gt;0"),"—")</f>
        <v/>
      </c>
      <c r="T15" s="7">
        <f>IF(COUNTIF(T2:T13,"&gt;0"),AVERAGEIF(T2:T13,"&gt;0"),"—")</f>
        <v/>
      </c>
      <c r="U15" s="7">
        <f>IF(COUNTIF(U2:U13,"&gt;0"),AVERAGEIF(U2:U13,"&gt;0"),"—")</f>
        <v/>
      </c>
      <c r="V15" s="7">
        <f>IF(COUNTIF(V2:V13,"&gt;0"),AVERAGEIF(V2:V13,"&gt;0"),"—")</f>
        <v/>
      </c>
      <c r="W15" s="7">
        <f>IF(COUNTIF(W2:W13,"&gt;0"),AVERAGEIF(W2:W13,"&gt;0"),"—")</f>
        <v/>
      </c>
      <c r="X15" s="7">
        <f>IF(COUNTIF(X2:X13,"&gt;0"),AVERAGEIF(X2:X13,"&gt;0"),"—")</f>
        <v/>
      </c>
      <c r="Y15" s="7">
        <f>IF(COUNTIF(Y2:Y13,"&gt;0"),AVERAGEIF(Y2:Y13,"&gt;0"),"—")</f>
        <v/>
      </c>
      <c r="Z15" s="7">
        <f>IF(COUNTIF(Z2:Z13,"&gt;0"),AVERAGEIF(Z2:Z13,"&gt;0"),"—")</f>
        <v/>
      </c>
      <c r="AA15" s="7">
        <f>IF(COUNTIF(AA2:AA13,"&gt;0"),AVERAGEIF(AA2:AA13,"&gt;0"),"—")</f>
        <v/>
      </c>
      <c r="AB15" s="7">
        <f>IF(COUNTIF(AB2:AB13,"&gt;0"),AVERAGEIF(AB2:AB13,"&gt;0"),"—")</f>
        <v/>
      </c>
      <c r="AC15" s="7">
        <f>IF(COUNTIF(AC2:AC13,"&gt;0"),AVERAGEIF(AC2:AC13,"&gt;0"),"—")</f>
        <v/>
      </c>
      <c r="AD15" s="7">
        <f>IF(COUNTIF(AD2:AD13,"&gt;0"),AVERAGEIF(AD2:AD13,"&gt;0"),"—")</f>
        <v/>
      </c>
      <c r="AE15" s="7">
        <f>IF(COUNTIF(AE2:AE13,"&gt;0"),AVERAGEIF(AE2:AE13,"&gt;0"),"—")</f>
        <v/>
      </c>
    </row>
    <row r="16">
      <c r="A16" s="6" t="inlineStr">
        <is>
          <t>Neg Av</t>
        </is>
      </c>
      <c r="B16" s="7">
        <f>IF(COUNTIF(B2:B13,"&lt;0"),AVERAGEIF(B2:B13,"&lt;0"),"—")</f>
        <v/>
      </c>
      <c r="C16" s="7">
        <f>IF(COUNTIF(C2:C13,"&lt;0"),AVERAGEIF(C2:C13,"&lt;0"),"—")</f>
        <v/>
      </c>
      <c r="D16" s="7">
        <f>IF(COUNTIF(D2:D13,"&lt;0"),AVERAGEIF(D2:D13,"&lt;0"),"—")</f>
        <v/>
      </c>
      <c r="E16" s="7">
        <f>IF(COUNTIF(E2:E13,"&lt;0"),AVERAGEIF(E2:E13,"&lt;0"),"—")</f>
        <v/>
      </c>
      <c r="F16" s="7">
        <f>IF(COUNTIF(F2:F13,"&lt;0"),AVERAGEIF(F2:F13,"&lt;0"),"—")</f>
        <v/>
      </c>
      <c r="G16" s="7">
        <f>IF(COUNTIF(G2:G13,"&lt;0"),AVERAGEIF(G2:G13,"&lt;0"),"—")</f>
        <v/>
      </c>
      <c r="H16" s="7">
        <f>IF(COUNTIF(H2:H13,"&lt;0"),AVERAGEIF(H2:H13,"&lt;0"),"—")</f>
        <v/>
      </c>
      <c r="I16" s="7">
        <f>IF(COUNTIF(I2:I13,"&lt;0"),AVERAGEIF(I2:I13,"&lt;0"),"—")</f>
        <v/>
      </c>
      <c r="J16" s="7">
        <f>IF(COUNTIF(J2:J13,"&lt;0"),AVERAGEIF(J2:J13,"&lt;0"),"—")</f>
        <v/>
      </c>
      <c r="K16" s="7">
        <f>IF(COUNTIF(K2:K13,"&lt;0"),AVERAGEIF(K2:K13,"&lt;0"),"—")</f>
        <v/>
      </c>
      <c r="L16" s="7">
        <f>IF(COUNTIF(L2:L13,"&lt;0"),AVERAGEIF(L2:L13,"&lt;0"),"—")</f>
        <v/>
      </c>
      <c r="M16" s="7">
        <f>IF(COUNTIF(M2:M13,"&lt;0"),AVERAGEIF(M2:M13,"&lt;0"),"—")</f>
        <v/>
      </c>
      <c r="N16" s="7">
        <f>IF(COUNTIF(N2:N13,"&lt;0"),AVERAGEIF(N2:N13,"&lt;0"),"—")</f>
        <v/>
      </c>
      <c r="O16" s="7">
        <f>IF(COUNTIF(O2:O13,"&lt;0"),AVERAGEIF(O2:O13,"&lt;0"),"—")</f>
        <v/>
      </c>
      <c r="P16" s="7">
        <f>IF(COUNTIF(P2:P13,"&lt;0"),AVERAGEIF(P2:P13,"&lt;0"),"—")</f>
        <v/>
      </c>
      <c r="Q16" s="7">
        <f>IF(COUNTIF(Q2:Q13,"&lt;0"),AVERAGEIF(Q2:Q13,"&lt;0"),"—")</f>
        <v/>
      </c>
      <c r="R16" s="7">
        <f>IF(COUNTIF(R2:R13,"&lt;0"),AVERAGEIF(R2:R13,"&lt;0"),"—")</f>
        <v/>
      </c>
      <c r="S16" s="7">
        <f>IF(COUNTIF(S2:S13,"&lt;0"),AVERAGEIF(S2:S13,"&lt;0"),"—")</f>
        <v/>
      </c>
      <c r="T16" s="7">
        <f>IF(COUNTIF(T2:T13,"&lt;0"),AVERAGEIF(T2:T13,"&lt;0"),"—")</f>
        <v/>
      </c>
      <c r="U16" s="7">
        <f>IF(COUNTIF(U2:U13,"&lt;0"),AVERAGEIF(U2:U13,"&lt;0"),"—")</f>
        <v/>
      </c>
      <c r="V16" s="7">
        <f>IF(COUNTIF(V2:V13,"&lt;0"),AVERAGEIF(V2:V13,"&lt;0"),"—")</f>
        <v/>
      </c>
      <c r="W16" s="7">
        <f>IF(COUNTIF(W2:W13,"&lt;0"),AVERAGEIF(W2:W13,"&lt;0"),"—")</f>
        <v/>
      </c>
      <c r="X16" s="7">
        <f>IF(COUNTIF(X2:X13,"&lt;0"),AVERAGEIF(X2:X13,"&lt;0"),"—")</f>
        <v/>
      </c>
      <c r="Y16" s="7">
        <f>IF(COUNTIF(Y2:Y13,"&lt;0"),AVERAGEIF(Y2:Y13,"&lt;0"),"—")</f>
        <v/>
      </c>
      <c r="Z16" s="7">
        <f>IF(COUNTIF(Z2:Z13,"&lt;0"),AVERAGEIF(Z2:Z13,"&lt;0"),"—")</f>
        <v/>
      </c>
      <c r="AA16" s="7">
        <f>IF(COUNTIF(AA2:AA13,"&lt;0"),AVERAGEIF(AA2:AA13,"&lt;0"),"—")</f>
        <v/>
      </c>
      <c r="AB16" s="7">
        <f>IF(COUNTIF(AB2:AB13,"&lt;0"),AVERAGEIF(AB2:AB13,"&lt;0"),"—")</f>
        <v/>
      </c>
      <c r="AC16" s="7">
        <f>IF(COUNTIF(AC2:AC13,"&lt;0"),AVERAGEIF(AC2:AC13,"&lt;0"),"—")</f>
        <v/>
      </c>
      <c r="AD16" s="7">
        <f>IF(COUNTIF(AD2:AD13,"&lt;0"),AVERAGEIF(AD2:AD13,"&lt;0"),"—")</f>
        <v/>
      </c>
      <c r="AE16" s="7">
        <f>IF(COUNTIF(AE2:AE13,"&lt;0"),AVERAGEIF(AE2:AE13,"&lt;0"),"—")</f>
        <v/>
      </c>
    </row>
    <row r="17">
      <c r="A17" s="6" t="inlineStr">
        <is>
          <t>1 Av</t>
        </is>
      </c>
      <c r="B17" s="7">
        <f>IF(COUNTA(B2:B13),AVERAGE(B2:B13),"—")</f>
        <v/>
      </c>
      <c r="C17" s="7">
        <f>IF(COUNTA(C2:C13),AVERAGE(C2:C13),"—")</f>
        <v/>
      </c>
      <c r="D17" s="7">
        <f>IF(COUNTA(D2:D13),AVERAGE(D2:D13),"—")</f>
        <v/>
      </c>
      <c r="E17" s="7">
        <f>IF(COUNTA(E2:E13),AVERAGE(E2:E13),"—")</f>
        <v/>
      </c>
      <c r="F17" s="7">
        <f>IF(COUNTA(F2:F13),AVERAGE(F2:F13),"—")</f>
        <v/>
      </c>
      <c r="G17" s="7">
        <f>IF(COUNTA(G2:G13),AVERAGE(G2:G13),"—")</f>
        <v/>
      </c>
      <c r="H17" s="7">
        <f>IF(COUNTA(H2:H13),AVERAGE(H2:H13),"—")</f>
        <v/>
      </c>
      <c r="I17" s="7">
        <f>IF(COUNTA(I2:I13),AVERAGE(I2:I13),"—")</f>
        <v/>
      </c>
      <c r="J17" s="7">
        <f>IF(COUNTA(J2:J13),AVERAGE(J2:J13),"—")</f>
        <v/>
      </c>
      <c r="K17" s="7">
        <f>IF(COUNTA(K2:K13),AVERAGE(K2:K13),"—")</f>
        <v/>
      </c>
      <c r="L17" s="7">
        <f>IF(COUNTA(L2:L13),AVERAGE(L2:L13),"—")</f>
        <v/>
      </c>
      <c r="M17" s="7">
        <f>IF(COUNTA(M2:M13),AVERAGE(M2:M13),"—")</f>
        <v/>
      </c>
      <c r="N17" s="7">
        <f>IF(COUNTA(N2:N13),AVERAGE(N2:N13),"—")</f>
        <v/>
      </c>
      <c r="O17" s="7">
        <f>IF(COUNTA(O2:O13),AVERAGE(O2:O13),"—")</f>
        <v/>
      </c>
      <c r="P17" s="7">
        <f>IF(COUNTA(P2:P13),AVERAGE(P2:P13),"—")</f>
        <v/>
      </c>
      <c r="Q17" s="7">
        <f>IF(COUNTA(Q2:Q13),AVERAGE(Q2:Q13),"—")</f>
        <v/>
      </c>
      <c r="R17" s="7">
        <f>IF(COUNTA(R2:R13),AVERAGE(R2:R13),"—")</f>
        <v/>
      </c>
      <c r="S17" s="7">
        <f>IF(COUNTA(S2:S13),AVERAGE(S2:S13),"—")</f>
        <v/>
      </c>
      <c r="T17" s="7">
        <f>IF(COUNTA(T2:T13),AVERAGE(T2:T13),"—")</f>
        <v/>
      </c>
      <c r="U17" s="7">
        <f>IF(COUNTA(U2:U13),AVERAGE(U2:U13),"—")</f>
        <v/>
      </c>
      <c r="V17" s="7">
        <f>IF(COUNTA(V2:V13),AVERAGE(V2:V13),"—")</f>
        <v/>
      </c>
      <c r="W17" s="7">
        <f>IF(COUNTA(W2:W13),AVERAGE(W2:W13),"—")</f>
        <v/>
      </c>
      <c r="X17" s="7">
        <f>IF(COUNTA(X2:X13),AVERAGE(X2:X13),"—")</f>
        <v/>
      </c>
      <c r="Y17" s="7">
        <f>IF(COUNTA(Y2:Y13),AVERAGE(Y2:Y13),"—")</f>
        <v/>
      </c>
      <c r="Z17" s="7">
        <f>IF(COUNTA(Z2:Z13),AVERAGE(Z2:Z13),"—")</f>
        <v/>
      </c>
      <c r="AA17" s="7">
        <f>IF(COUNTA(AA2:AA13),AVERAGE(AA2:AA13),"—")</f>
        <v/>
      </c>
      <c r="AB17" s="7">
        <f>IF(COUNTA(AB2:AB13),AVERAGE(AB2:AB13),"—")</f>
        <v/>
      </c>
      <c r="AC17" s="7">
        <f>IF(COUNTA(AC2:AC13),AVERAGE(AC2:AC13),"—")</f>
        <v/>
      </c>
      <c r="AD17" s="7">
        <f>IF(COUNTA(AD2:AD13),AVERAGE(AD2:AD13),"—")</f>
        <v/>
      </c>
      <c r="AE17" s="7">
        <f>IF(COUNTA(AE2:AE13),AVERAGE(AE2:AE13),"—")</f>
        <v/>
      </c>
    </row>
    <row r="18">
      <c r="A18" s="6" t="inlineStr">
        <is>
          <t>Spread</t>
        </is>
      </c>
      <c r="B18" s="7">
        <f>IF(AND(ISNUMBER(B16),ISNUMBER(B17)),B16-B17,"—")</f>
        <v/>
      </c>
      <c r="C18" s="7">
        <f>IF(AND(ISNUMBER(C16),ISNUMBER(C17)),C16-C17,"—")</f>
        <v/>
      </c>
      <c r="D18" s="7">
        <f>IF(AND(ISNUMBER(D16),ISNUMBER(D17)),D16-D17,"—")</f>
        <v/>
      </c>
      <c r="E18" s="7">
        <f>IF(AND(ISNUMBER(E16),ISNUMBER(E17)),E16-E17,"—")</f>
        <v/>
      </c>
      <c r="F18" s="7">
        <f>IF(AND(ISNUMBER(F16),ISNUMBER(F17)),F16-F17,"—")</f>
        <v/>
      </c>
      <c r="G18" s="7">
        <f>IF(AND(ISNUMBER(G16),ISNUMBER(G17)),G16-G17,"—")</f>
        <v/>
      </c>
      <c r="H18" s="7">
        <f>IF(AND(ISNUMBER(H16),ISNUMBER(H17)),H16-H17,"—")</f>
        <v/>
      </c>
      <c r="I18" s="7">
        <f>IF(AND(ISNUMBER(I16),ISNUMBER(I17)),I16-I17,"—")</f>
        <v/>
      </c>
      <c r="J18" s="7">
        <f>IF(AND(ISNUMBER(J16),ISNUMBER(J17)),J16-J17,"—")</f>
        <v/>
      </c>
      <c r="K18" s="7">
        <f>IF(AND(ISNUMBER(K16),ISNUMBER(K17)),K16-K17,"—")</f>
        <v/>
      </c>
      <c r="L18" s="7">
        <f>IF(AND(ISNUMBER(L16),ISNUMBER(L17)),L16-L17,"—")</f>
        <v/>
      </c>
      <c r="M18" s="7">
        <f>IF(AND(ISNUMBER(M16),ISNUMBER(M17)),M16-M17,"—")</f>
        <v/>
      </c>
      <c r="N18" s="7">
        <f>IF(AND(ISNUMBER(N16),ISNUMBER(N17)),N16-N17,"—")</f>
        <v/>
      </c>
      <c r="O18" s="7">
        <f>IF(AND(ISNUMBER(O16),ISNUMBER(O17)),O16-O17,"—")</f>
        <v/>
      </c>
      <c r="P18" s="7">
        <f>IF(AND(ISNUMBER(P16),ISNUMBER(P17)),P16-P17,"—")</f>
        <v/>
      </c>
      <c r="Q18" s="7">
        <f>IF(AND(ISNUMBER(Q16),ISNUMBER(Q17)),Q16-Q17,"—")</f>
        <v/>
      </c>
      <c r="R18" s="7">
        <f>IF(AND(ISNUMBER(R16),ISNUMBER(R17)),R16-R17,"—")</f>
        <v/>
      </c>
      <c r="S18" s="7">
        <f>IF(AND(ISNUMBER(S16),ISNUMBER(S17)),S16-S17,"—")</f>
        <v/>
      </c>
      <c r="T18" s="7">
        <f>IF(AND(ISNUMBER(T16),ISNUMBER(T17)),T16-T17,"—")</f>
        <v/>
      </c>
      <c r="U18" s="7">
        <f>IF(AND(ISNUMBER(U16),ISNUMBER(U17)),U16-U17,"—")</f>
        <v/>
      </c>
      <c r="V18" s="7">
        <f>IF(AND(ISNUMBER(V16),ISNUMBER(V17)),V16-V17,"—")</f>
        <v/>
      </c>
      <c r="W18" s="7">
        <f>IF(AND(ISNUMBER(W16),ISNUMBER(W17)),W16-W17,"—")</f>
        <v/>
      </c>
      <c r="X18" s="7">
        <f>IF(AND(ISNUMBER(X16),ISNUMBER(X17)),X16-X17,"—")</f>
        <v/>
      </c>
      <c r="Y18" s="7">
        <f>IF(AND(ISNUMBER(Y16),ISNUMBER(Y17)),Y16-Y17,"—")</f>
        <v/>
      </c>
      <c r="Z18" s="7">
        <f>IF(AND(ISNUMBER(Z16),ISNUMBER(Z17)),Z16-Z17,"—")</f>
        <v/>
      </c>
      <c r="AA18" s="7">
        <f>IF(AND(ISNUMBER(AA16),ISNUMBER(AA17)),AA16-AA17,"—")</f>
        <v/>
      </c>
      <c r="AB18" s="7">
        <f>IF(AND(ISNUMBER(AB16),ISNUMBER(AB17)),AB16-AB17,"—")</f>
        <v/>
      </c>
      <c r="AC18" s="7">
        <f>IF(AND(ISNUMBER(AC16),ISNUMBER(AC17)),AC16-AC17,"—")</f>
        <v/>
      </c>
      <c r="AD18" s="7">
        <f>IF(AND(ISNUMBER(AD16),ISNUMBER(AD17)),AD16-AD17,"—")</f>
        <v/>
      </c>
      <c r="AE18" s="7">
        <f>IF(AND(ISNUMBER(AE16),ISNUMBER(AE17)),AE16-AE17,"—")</f>
        <v/>
      </c>
    </row>
    <row r="19">
      <c r="A19" s="6" t="inlineStr">
        <is>
          <t>% Pos</t>
        </is>
      </c>
      <c r="B19" s="8">
        <f>IF(COUNTA(B2:B13),COUNTIF(B2:B13,"&gt;0")/COUNTA(B2:B13),"—")</f>
        <v/>
      </c>
      <c r="C19" s="8">
        <f>IF(COUNTA(C2:C13),COUNTIF(C2:C13,"&gt;0")/COUNTA(C2:C13),"—")</f>
        <v/>
      </c>
      <c r="D19" s="8">
        <f>IF(COUNTA(D2:D13),COUNTIF(D2:D13,"&gt;0")/COUNTA(D2:D13),"—")</f>
        <v/>
      </c>
      <c r="E19" s="8">
        <f>IF(COUNTA(E2:E13),COUNTIF(E2:E13,"&gt;0")/COUNTA(E2:E13),"—")</f>
        <v/>
      </c>
      <c r="F19" s="8">
        <f>IF(COUNTA(F2:F13),COUNTIF(F2:F13,"&gt;0")/COUNTA(F2:F13),"—")</f>
        <v/>
      </c>
      <c r="G19" s="8">
        <f>IF(COUNTA(G2:G13),COUNTIF(G2:G13,"&gt;0")/COUNTA(G2:G13),"—")</f>
        <v/>
      </c>
      <c r="H19" s="8">
        <f>IF(COUNTA(H2:H13),COUNTIF(H2:H13,"&gt;0")/COUNTA(H2:H13),"—")</f>
        <v/>
      </c>
      <c r="I19" s="8">
        <f>IF(COUNTA(I2:I13),COUNTIF(I2:I13,"&gt;0")/COUNTA(I2:I13),"—")</f>
        <v/>
      </c>
      <c r="J19" s="8">
        <f>IF(COUNTA(J2:J13),COUNTIF(J2:J13,"&gt;0")/COUNTA(J2:J13),"—")</f>
        <v/>
      </c>
      <c r="K19" s="8">
        <f>IF(COUNTA(K2:K13),COUNTIF(K2:K13,"&gt;0")/COUNTA(K2:K13),"—")</f>
        <v/>
      </c>
      <c r="L19" s="8">
        <f>IF(COUNTA(L2:L13),COUNTIF(L2:L13,"&gt;0")/COUNTA(L2:L13),"—")</f>
        <v/>
      </c>
      <c r="M19" s="8">
        <f>IF(COUNTA(M2:M13),COUNTIF(M2:M13,"&gt;0")/COUNTA(M2:M13),"—")</f>
        <v/>
      </c>
      <c r="N19" s="8">
        <f>IF(COUNTA(N2:N13),COUNTIF(N2:N13,"&gt;0")/COUNTA(N2:N13),"—")</f>
        <v/>
      </c>
      <c r="O19" s="8">
        <f>IF(COUNTA(O2:O13),COUNTIF(O2:O13,"&gt;0")/COUNTA(O2:O13),"—")</f>
        <v/>
      </c>
      <c r="P19" s="8">
        <f>IF(COUNTA(P2:P13),COUNTIF(P2:P13,"&gt;0")/COUNTA(P2:P13),"—")</f>
        <v/>
      </c>
      <c r="Q19" s="8">
        <f>IF(COUNTA(Q2:Q13),COUNTIF(Q2:Q13,"&gt;0")/COUNTA(Q2:Q13),"—")</f>
        <v/>
      </c>
      <c r="R19" s="8">
        <f>IF(COUNTA(R2:R13),COUNTIF(R2:R13,"&gt;0")/COUNTA(R2:R13),"—")</f>
        <v/>
      </c>
      <c r="S19" s="8">
        <f>IF(COUNTA(S2:S13),COUNTIF(S2:S13,"&gt;0")/COUNTA(S2:S13),"—")</f>
        <v/>
      </c>
      <c r="T19" s="8">
        <f>IF(COUNTA(T2:T13),COUNTIF(T2:T13,"&gt;0")/COUNTA(T2:T13),"—")</f>
        <v/>
      </c>
      <c r="U19" s="8">
        <f>IF(COUNTA(U2:U13),COUNTIF(U2:U13,"&gt;0")/COUNTA(U2:U13),"—")</f>
        <v/>
      </c>
      <c r="V19" s="8">
        <f>IF(COUNTA(V2:V13),COUNTIF(V2:V13,"&gt;0")/COUNTA(V2:V13),"—")</f>
        <v/>
      </c>
      <c r="W19" s="8">
        <f>IF(COUNTA(W2:W13),COUNTIF(W2:W13,"&gt;0")/COUNTA(W2:W13),"—")</f>
        <v/>
      </c>
      <c r="X19" s="8">
        <f>IF(COUNTA(X2:X13),COUNTIF(X2:X13,"&gt;0")/COUNTA(X2:X13),"—")</f>
        <v/>
      </c>
      <c r="Y19" s="8">
        <f>IF(COUNTA(Y2:Y13),COUNTIF(Y2:Y13,"&gt;0")/COUNTA(Y2:Y13),"—")</f>
        <v/>
      </c>
      <c r="Z19" s="8">
        <f>IF(COUNTA(Z2:Z13),COUNTIF(Z2:Z13,"&gt;0")/COUNTA(Z2:Z13),"—")</f>
        <v/>
      </c>
      <c r="AA19" s="8">
        <f>IF(COUNTA(AA2:AA13),COUNTIF(AA2:AA13,"&gt;0")/COUNTA(AA2:AA13),"—")</f>
        <v/>
      </c>
      <c r="AB19" s="8">
        <f>IF(COUNTA(AB2:AB13),COUNTIF(AB2:AB13,"&gt;0")/COUNTA(AB2:AB13),"—")</f>
        <v/>
      </c>
      <c r="AC19" s="8">
        <f>IF(COUNTA(AC2:AC13),COUNTIF(AC2:AC13,"&gt;0")/COUNTA(AC2:AC13),"—")</f>
        <v/>
      </c>
      <c r="AD19" s="8">
        <f>IF(COUNTA(AD2:AD13),COUNTIF(AD2:AD13,"&gt;0")/COUNTA(AD2:AD13),"—")</f>
        <v/>
      </c>
      <c r="AE19" s="8">
        <f>IF(COUNTA(AE2:AE13),COUNTIF(AE2:AE13,"&gt;0")/COUNTA(AE2:AE13),"—")</f>
        <v/>
      </c>
    </row>
    <row r="20">
      <c r="A20" s="6" t="inlineStr">
        <is>
          <t>% Neg</t>
        </is>
      </c>
      <c r="B20" s="8">
        <f>IF(COUNTA(B2:B13),COUNTIF(B2:B13,"&lt;0")/COUNTA(B2:B13),"—")</f>
        <v/>
      </c>
      <c r="C20" s="8">
        <f>IF(COUNTA(C2:C13),COUNTIF(C2:C13,"&lt;0")/COUNTA(C2:C13),"—")</f>
        <v/>
      </c>
      <c r="D20" s="8">
        <f>IF(COUNTA(D2:D13),COUNTIF(D2:D13,"&lt;0")/COUNTA(D2:D13),"—")</f>
        <v/>
      </c>
      <c r="E20" s="8">
        <f>IF(COUNTA(E2:E13),COUNTIF(E2:E13,"&lt;0")/COUNTA(E2:E13),"—")</f>
        <v/>
      </c>
      <c r="F20" s="8">
        <f>IF(COUNTA(F2:F13),COUNTIF(F2:F13,"&lt;0")/COUNTA(F2:F13),"—")</f>
        <v/>
      </c>
      <c r="G20" s="8">
        <f>IF(COUNTA(G2:G13),COUNTIF(G2:G13,"&lt;0")/COUNTA(G2:G13),"—")</f>
        <v/>
      </c>
      <c r="H20" s="8">
        <f>IF(COUNTA(H2:H13),COUNTIF(H2:H13,"&lt;0")/COUNTA(H2:H13),"—")</f>
        <v/>
      </c>
      <c r="I20" s="8">
        <f>IF(COUNTA(I2:I13),COUNTIF(I2:I13,"&lt;0")/COUNTA(I2:I13),"—")</f>
        <v/>
      </c>
      <c r="J20" s="8">
        <f>IF(COUNTA(J2:J13),COUNTIF(J2:J13,"&lt;0")/COUNTA(J2:J13),"—")</f>
        <v/>
      </c>
      <c r="K20" s="8">
        <f>IF(COUNTA(K2:K13),COUNTIF(K2:K13,"&lt;0")/COUNTA(K2:K13),"—")</f>
        <v/>
      </c>
      <c r="L20" s="8">
        <f>IF(COUNTA(L2:L13),COUNTIF(L2:L13,"&lt;0")/COUNTA(L2:L13),"—")</f>
        <v/>
      </c>
      <c r="M20" s="8">
        <f>IF(COUNTA(M2:M13),COUNTIF(M2:M13,"&lt;0")/COUNTA(M2:M13),"—")</f>
        <v/>
      </c>
      <c r="N20" s="8">
        <f>IF(COUNTA(N2:N13),COUNTIF(N2:N13,"&lt;0")/COUNTA(N2:N13),"—")</f>
        <v/>
      </c>
      <c r="O20" s="8">
        <f>IF(COUNTA(O2:O13),COUNTIF(O2:O13,"&lt;0")/COUNTA(O2:O13),"—")</f>
        <v/>
      </c>
      <c r="P20" s="8">
        <f>IF(COUNTA(P2:P13),COUNTIF(P2:P13,"&lt;0")/COUNTA(P2:P13),"—")</f>
        <v/>
      </c>
      <c r="Q20" s="8">
        <f>IF(COUNTA(Q2:Q13),COUNTIF(Q2:Q13,"&lt;0")/COUNTA(Q2:Q13),"—")</f>
        <v/>
      </c>
      <c r="R20" s="8">
        <f>IF(COUNTA(R2:R13),COUNTIF(R2:R13,"&lt;0")/COUNTA(R2:R13),"—")</f>
        <v/>
      </c>
      <c r="S20" s="8">
        <f>IF(COUNTA(S2:S13),COUNTIF(S2:S13,"&lt;0")/COUNTA(S2:S13),"—")</f>
        <v/>
      </c>
      <c r="T20" s="8">
        <f>IF(COUNTA(T2:T13),COUNTIF(T2:T13,"&lt;0")/COUNTA(T2:T13),"—")</f>
        <v/>
      </c>
      <c r="U20" s="8">
        <f>IF(COUNTA(U2:U13),COUNTIF(U2:U13,"&lt;0")/COUNTA(U2:U13),"—")</f>
        <v/>
      </c>
      <c r="V20" s="8">
        <f>IF(COUNTA(V2:V13),COUNTIF(V2:V13,"&lt;0")/COUNTA(V2:V13),"—")</f>
        <v/>
      </c>
      <c r="W20" s="8">
        <f>IF(COUNTA(W2:W13),COUNTIF(W2:W13,"&lt;0")/COUNTA(W2:W13),"—")</f>
        <v/>
      </c>
      <c r="X20" s="8">
        <f>IF(COUNTA(X2:X13),COUNTIF(X2:X13,"&lt;0")/COUNTA(X2:X13),"—")</f>
        <v/>
      </c>
      <c r="Y20" s="8">
        <f>IF(COUNTA(Y2:Y13),COUNTIF(Y2:Y13,"&lt;0")/COUNTA(Y2:Y13),"—")</f>
        <v/>
      </c>
      <c r="Z20" s="8">
        <f>IF(COUNTA(Z2:Z13),COUNTIF(Z2:Z13,"&lt;0")/COUNTA(Z2:Z13),"—")</f>
        <v/>
      </c>
      <c r="AA20" s="8">
        <f>IF(COUNTA(AA2:AA13),COUNTIF(AA2:AA13,"&lt;0")/COUNTA(AA2:AA13),"—")</f>
        <v/>
      </c>
      <c r="AB20" s="8">
        <f>IF(COUNTA(AB2:AB13),COUNTIF(AB2:AB13,"&lt;0")/COUNTA(AB2:AB13),"—")</f>
        <v/>
      </c>
      <c r="AC20" s="8">
        <f>IF(COUNTA(AC2:AC13),COUNTIF(AC2:AC13,"&lt;0")/COUNTA(AC2:AC13),"—")</f>
        <v/>
      </c>
      <c r="AD20" s="8">
        <f>IF(COUNTA(AD2:AD13),COUNTIF(AD2:AD13,"&lt;0")/COUNTA(AD2:AD13),"—")</f>
        <v/>
      </c>
      <c r="AE20" s="8">
        <f>IF(COUNTA(AE2:AE13),COUNTIF(AE2:AE13,"&lt;0")/COUNTA(AE2:AE13),"—")</f>
        <v/>
      </c>
    </row>
    <row r="22">
      <c r="A22" s="6" t="inlineStr">
        <is>
          <t>Best Swing</t>
        </is>
      </c>
      <c r="B22" s="9" t="inlineStr">
        <is>
          <t>2025-08-05 10:15:17</t>
        </is>
      </c>
      <c r="C22" s="10" t="n">
        <v>83.79000000000001</v>
      </c>
      <c r="D22" s="10" t="n">
        <v>121.09</v>
      </c>
      <c r="E22" s="10" t="n">
        <v>1.45</v>
      </c>
      <c r="F22" s="10" t="n">
        <v>180.54</v>
      </c>
      <c r="G22" s="10" t="n">
        <v>193.79</v>
      </c>
      <c r="H22" s="10" t="n">
        <v>2.37</v>
      </c>
      <c r="I22" s="10" t="n">
        <v>2.99</v>
      </c>
      <c r="J22" s="10" t="n">
        <v>4.2</v>
      </c>
      <c r="K22" s="10" t="n">
        <v>3.57</v>
      </c>
      <c r="L22" s="10" t="n">
        <v>-0.63</v>
      </c>
      <c r="M22" s="10" t="n">
        <v>3.69</v>
      </c>
      <c r="N22" s="10" t="n">
        <v>0.6</v>
      </c>
      <c r="O22" s="10" t="n">
        <v>19.77</v>
      </c>
      <c r="P22" s="10" t="n">
        <v>16.13</v>
      </c>
      <c r="Q22" s="10" t="n">
        <v>19.24</v>
      </c>
      <c r="R22" s="10" t="n">
        <v>4368.42</v>
      </c>
      <c r="S22" s="10" t="n">
        <v>-2.22</v>
      </c>
      <c r="T22" s="10" t="n">
        <v>-10.09</v>
      </c>
      <c r="U22" s="10" t="n">
        <v>24.76</v>
      </c>
      <c r="V22" s="10" t="n">
        <v>26.03</v>
      </c>
      <c r="W22" s="10" t="n">
        <v>87.61</v>
      </c>
      <c r="X22" s="10" t="n">
        <v>43.49</v>
      </c>
      <c r="Y22" s="10" t="n">
        <v>4.21</v>
      </c>
      <c r="Z22" s="10" t="n">
        <v>52.84</v>
      </c>
      <c r="AA22" s="10" t="n">
        <v>1.14</v>
      </c>
      <c r="AB22" s="10" t="n">
        <v>-1.72</v>
      </c>
      <c r="AC22" s="10" t="n">
        <v>-1.3</v>
      </c>
      <c r="AD22" s="10" t="n">
        <v/>
      </c>
      <c r="AE22" s="10" t="n">
        <v>6.06</v>
      </c>
      <c r="AF22" s="10" t="n">
        <v>61.43</v>
      </c>
    </row>
  </sheetData>
  <autoFilter ref="A1:A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.5" customWidth="1" min="2" max="2"/>
    <col width="11.5" customWidth="1" min="3" max="3"/>
    <col width="9.4" customWidth="1" min="4" max="4"/>
    <col width="9.4" customWidth="1" min="5" max="5"/>
    <col width="9.4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24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9.4" customWidth="1" min="19" max="19"/>
    <col width="11.5" customWidth="1" min="20" max="20"/>
    <col width="11.5" customWidth="1" min="21" max="21"/>
    <col width="11.5" customWidth="1" min="22" max="22"/>
    <col width="13.5" customWidth="1" min="23" max="23"/>
    <col width="23" customWidth="1" min="24" max="24"/>
    <col width="11.5" customWidth="1" min="25" max="25"/>
    <col width="9.4" customWidth="1" min="26" max="26"/>
    <col width="9.4" customWidth="1" min="27" max="27"/>
    <col width="11.5" customWidth="1" min="28" max="28"/>
    <col width="11.5" customWidth="1" min="29" max="29"/>
    <col width="14" customWidth="1" min="30" max="30"/>
    <col width="11.5" customWidth="1" min="31" max="31"/>
  </cols>
  <sheetData>
    <row r="1" ht="3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2025-08-05 09:54:17</t>
        </is>
      </c>
      <c r="B2" s="3" t="n">
        <v>81.7</v>
      </c>
      <c r="C2" s="3" t="n">
        <v>121.8</v>
      </c>
      <c r="D2" s="3" t="n">
        <v>1.49</v>
      </c>
      <c r="E2" s="3" t="n">
        <v>174.42</v>
      </c>
      <c r="F2" s="3" t="n">
        <v>208.96</v>
      </c>
      <c r="G2" s="3" t="n">
        <v/>
      </c>
      <c r="H2" s="3" t="n">
        <v/>
      </c>
      <c r="I2" s="3" t="n">
        <v>1.4</v>
      </c>
      <c r="J2" s="3" t="n">
        <v>1.37</v>
      </c>
      <c r="K2" s="3" t="n">
        <v>-0.03</v>
      </c>
      <c r="L2" s="3" t="n">
        <v>1.37</v>
      </c>
      <c r="M2" s="3" t="n">
        <v>-1.6</v>
      </c>
      <c r="N2" s="3" t="n">
        <v>12.78</v>
      </c>
      <c r="O2" s="3" t="n">
        <v>10.71</v>
      </c>
      <c r="P2" s="3" t="n">
        <v>14.41</v>
      </c>
      <c r="Q2" s="3" t="n">
        <v>2496.55</v>
      </c>
      <c r="R2" s="3" t="n">
        <v>0.09</v>
      </c>
      <c r="S2" s="3" t="n">
        <v>0.24</v>
      </c>
      <c r="T2" s="3" t="n">
        <v>12.75</v>
      </c>
      <c r="U2" s="3" t="n">
        <v>15.33</v>
      </c>
      <c r="V2" s="3" t="n">
        <v>41.58</v>
      </c>
      <c r="W2" s="3" t="n">
        <v>24.36</v>
      </c>
      <c r="X2" s="3" t="n">
        <v>-0.71</v>
      </c>
      <c r="Y2" s="3" t="n">
        <v>45.41</v>
      </c>
      <c r="Z2" s="3" t="n">
        <v>1.4</v>
      </c>
      <c r="AA2" s="3" t="n">
        <v>-0.02</v>
      </c>
      <c r="AB2" s="3" t="n">
        <v>1.26</v>
      </c>
      <c r="AC2" s="3" t="n">
        <v/>
      </c>
      <c r="AD2" s="3" t="n">
        <v>4.52</v>
      </c>
      <c r="AE2" s="3" t="n">
        <v/>
      </c>
    </row>
    <row r="3">
      <c r="A3" s="4" t="inlineStr">
        <is>
          <t>2025-08-05 09:54:45</t>
        </is>
      </c>
      <c r="B3" s="5" t="n">
        <v>86.58</v>
      </c>
      <c r="C3" s="5" t="n">
        <v>123.82</v>
      </c>
      <c r="D3" s="5" t="n">
        <v>1.43</v>
      </c>
      <c r="E3" s="5" t="n">
        <v>196.77</v>
      </c>
      <c r="F3" s="5" t="n">
        <v>215.64</v>
      </c>
      <c r="G3" s="5" t="n">
        <v/>
      </c>
      <c r="H3" s="5" t="n">
        <v/>
      </c>
      <c r="I3" s="5" t="n">
        <v>1.7</v>
      </c>
      <c r="J3" s="5" t="n">
        <v>6.79</v>
      </c>
      <c r="K3" s="5" t="n">
        <v>5.09</v>
      </c>
      <c r="L3" s="5" t="n">
        <v>6.16</v>
      </c>
      <c r="M3" s="5" t="n">
        <v>-0.1</v>
      </c>
      <c r="N3" s="5" t="n">
        <v>20.18</v>
      </c>
      <c r="O3" s="5" t="n">
        <v>17.84</v>
      </c>
      <c r="P3" s="5" t="n">
        <v>21.07</v>
      </c>
      <c r="Q3" s="5" t="n">
        <v>2979</v>
      </c>
      <c r="R3" s="5" t="n">
        <v>9.26</v>
      </c>
      <c r="S3" s="5" t="n">
        <v>39.54</v>
      </c>
      <c r="T3" s="5" t="n">
        <v>102.46</v>
      </c>
      <c r="U3" s="5" t="n">
        <v>115.3</v>
      </c>
      <c r="V3" s="5" t="n">
        <v>90.75</v>
      </c>
      <c r="W3" s="5" t="n">
        <v>41.07</v>
      </c>
      <c r="X3" s="5" t="n">
        <v>1.39</v>
      </c>
      <c r="Y3" s="5" t="n">
        <v>48.66</v>
      </c>
      <c r="Z3" s="5" t="n">
        <v>1.47</v>
      </c>
      <c r="AA3" s="5" t="n">
        <v>13.59</v>
      </c>
      <c r="AB3" s="5" t="n">
        <v>0.35</v>
      </c>
      <c r="AC3" s="5" t="n">
        <v/>
      </c>
      <c r="AD3" s="5" t="n">
        <v>6.1</v>
      </c>
      <c r="AE3" s="5" t="n">
        <v/>
      </c>
    </row>
    <row r="4">
      <c r="A4" s="2" t="inlineStr">
        <is>
          <t>2025-08-05 09:55:27</t>
        </is>
      </c>
      <c r="B4" s="3" t="n">
        <v>83.97</v>
      </c>
      <c r="C4" s="3" t="n">
        <v>124.28</v>
      </c>
      <c r="D4" s="3" t="n">
        <v>1.48</v>
      </c>
      <c r="E4" s="3" t="n">
        <v>130.55</v>
      </c>
      <c r="F4" s="3" t="n">
        <v>183.82</v>
      </c>
      <c r="G4" s="3" t="n">
        <v>-7.56</v>
      </c>
      <c r="H4" s="3" t="n">
        <v>-3.53</v>
      </c>
      <c r="I4" s="3" t="n">
        <v>1.8</v>
      </c>
      <c r="J4" s="3" t="n">
        <v>-6.16</v>
      </c>
      <c r="K4" s="3" t="n">
        <v>-7.96</v>
      </c>
      <c r="L4" s="3" t="n">
        <v>-4.58</v>
      </c>
      <c r="M4" s="3" t="n">
        <v>3</v>
      </c>
      <c r="N4" s="3" t="n">
        <v>8.32</v>
      </c>
      <c r="O4" s="3" t="n">
        <v>7.27</v>
      </c>
      <c r="P4" s="3" t="n">
        <v>9.52</v>
      </c>
      <c r="Q4" s="3" t="n">
        <v>2328.8</v>
      </c>
      <c r="R4" s="3" t="n">
        <v>-39.02</v>
      </c>
      <c r="S4" s="3" t="n">
        <v>-49.1</v>
      </c>
      <c r="T4" s="3" t="n">
        <v>-79.95</v>
      </c>
      <c r="U4" s="3" t="n">
        <v>-134.3</v>
      </c>
      <c r="V4" s="3" t="n">
        <v>17.2</v>
      </c>
      <c r="W4" s="3" t="n">
        <v>12.79</v>
      </c>
      <c r="X4" s="3" t="n">
        <v>3.17</v>
      </c>
      <c r="Y4" s="3" t="n">
        <v>58.01</v>
      </c>
      <c r="Z4" s="3" t="n">
        <v>1.34</v>
      </c>
      <c r="AA4" s="3" t="n">
        <v>-55.23</v>
      </c>
      <c r="AB4" s="3" t="n">
        <v>-4.49</v>
      </c>
      <c r="AC4" s="3" t="n">
        <v/>
      </c>
      <c r="AD4" s="3" t="n">
        <v>2.86</v>
      </c>
      <c r="AE4" s="3" t="n">
        <v>52.27</v>
      </c>
    </row>
    <row r="5">
      <c r="A5" s="4" t="inlineStr">
        <is>
          <t>2025-08-05 09:56:31</t>
        </is>
      </c>
      <c r="B5" s="5" t="n">
        <v>85.62</v>
      </c>
      <c r="C5" s="5" t="n">
        <v>126.67</v>
      </c>
      <c r="D5" s="5" t="n">
        <v>1.48</v>
      </c>
      <c r="E5" s="5" t="n">
        <v>195.77</v>
      </c>
      <c r="F5" s="5" t="n">
        <v>220.75</v>
      </c>
      <c r="G5" s="5" t="n">
        <v/>
      </c>
      <c r="H5" s="5" t="n">
        <v/>
      </c>
      <c r="I5" s="5" t="n">
        <v>1.8</v>
      </c>
      <c r="J5" s="5" t="n">
        <v>2.59</v>
      </c>
      <c r="K5" s="5" t="n">
        <v>0.79</v>
      </c>
      <c r="L5" s="5" t="n">
        <v>2.45</v>
      </c>
      <c r="M5" s="5" t="n">
        <v>1.2</v>
      </c>
      <c r="N5" s="5" t="n">
        <v>15.08</v>
      </c>
      <c r="O5" s="5" t="n">
        <v>12.78</v>
      </c>
      <c r="P5" s="5" t="n">
        <v>13.89</v>
      </c>
      <c r="Q5" s="5" t="n">
        <v>2902.58</v>
      </c>
      <c r="R5" s="5" t="n">
        <v>3.35</v>
      </c>
      <c r="S5" s="5" t="n">
        <v>13.16</v>
      </c>
      <c r="T5" s="5" t="n">
        <v>38.26</v>
      </c>
      <c r="U5" s="5" t="n">
        <v>44.72</v>
      </c>
      <c r="V5" s="5" t="n">
        <v>64.28</v>
      </c>
      <c r="W5" s="5" t="n">
        <v>33.02</v>
      </c>
      <c r="X5" s="5" t="n">
        <v>2.43</v>
      </c>
      <c r="Y5" s="5" t="n">
        <v>45.87</v>
      </c>
      <c r="Z5" s="5" t="n">
        <v>1.26</v>
      </c>
      <c r="AA5" s="5" t="n">
        <v>3.25</v>
      </c>
      <c r="AB5" s="5" t="n">
        <v>-2.56</v>
      </c>
      <c r="AC5" s="5" t="n">
        <v/>
      </c>
      <c r="AD5" s="5" t="n">
        <v>5.48</v>
      </c>
      <c r="AE5" s="5" t="n">
        <v/>
      </c>
    </row>
    <row r="6">
      <c r="A6" s="2" t="inlineStr">
        <is>
          <t>2025-08-05 09:57:12</t>
        </is>
      </c>
      <c r="B6" s="3" t="n">
        <v>86.45</v>
      </c>
      <c r="C6" s="3" t="n">
        <v>127.74</v>
      </c>
      <c r="D6" s="3" t="n">
        <v>1.48</v>
      </c>
      <c r="E6" s="3" t="n">
        <v>200.77</v>
      </c>
      <c r="F6" s="3" t="n">
        <v>223.44</v>
      </c>
      <c r="G6" s="3" t="n">
        <v/>
      </c>
      <c r="H6" s="3" t="n">
        <v/>
      </c>
      <c r="I6" s="3" t="n">
        <v>1</v>
      </c>
      <c r="J6" s="3" t="n">
        <v>1.91</v>
      </c>
      <c r="K6" s="3" t="n">
        <v>0.91</v>
      </c>
      <c r="L6" s="3" t="n">
        <v>1.76</v>
      </c>
      <c r="M6" s="3" t="n">
        <v>0.6</v>
      </c>
      <c r="N6" s="3" t="n">
        <v>16.17</v>
      </c>
      <c r="O6" s="3" t="n">
        <v>13.85</v>
      </c>
      <c r="P6" s="3" t="n">
        <v>15.59</v>
      </c>
      <c r="Q6" s="3" t="n">
        <v>2949</v>
      </c>
      <c r="R6" s="3" t="n">
        <v>1.56</v>
      </c>
      <c r="S6" s="3" t="n">
        <v>6.58</v>
      </c>
      <c r="T6" s="3" t="n">
        <v>25.06</v>
      </c>
      <c r="U6" s="3" t="n">
        <v>28.57</v>
      </c>
      <c r="V6" s="3" t="n">
        <v>73.23</v>
      </c>
      <c r="W6" s="3" t="n">
        <v>35.77</v>
      </c>
      <c r="X6" s="3" t="n">
        <v>1</v>
      </c>
      <c r="Y6" s="3" t="n">
        <v>46.77</v>
      </c>
      <c r="Z6" s="3" t="n">
        <v>1.28</v>
      </c>
      <c r="AA6" s="3" t="n">
        <v>3.48</v>
      </c>
      <c r="AB6" s="3" t="n">
        <v>-1.81</v>
      </c>
      <c r="AC6" s="3" t="n">
        <v/>
      </c>
      <c r="AD6" s="3" t="n">
        <v>5.76</v>
      </c>
      <c r="AE6" s="3" t="n">
        <v/>
      </c>
    </row>
    <row r="7">
      <c r="A7" s="4" t="inlineStr">
        <is>
          <t>2025-08-05 09:57:58</t>
        </is>
      </c>
      <c r="B7" s="5" t="n">
        <v>87.29000000000001</v>
      </c>
      <c r="C7" s="5" t="n">
        <v>128.19</v>
      </c>
      <c r="D7" s="5" t="n">
        <v>1.47</v>
      </c>
      <c r="E7" s="5" t="n">
        <v>151.72</v>
      </c>
      <c r="F7" s="5" t="n">
        <v>202.8</v>
      </c>
      <c r="G7" s="5" t="n">
        <v>-18.69</v>
      </c>
      <c r="H7" s="5" t="n">
        <v>-6.66</v>
      </c>
      <c r="I7" s="5" t="n">
        <v>1</v>
      </c>
      <c r="J7" s="5" t="n">
        <v>0.24</v>
      </c>
      <c r="K7" s="5" t="n">
        <v>-0.76</v>
      </c>
      <c r="L7" s="5" t="n">
        <v>0.57</v>
      </c>
      <c r="M7" s="5" t="n">
        <v>3.6</v>
      </c>
      <c r="N7" s="5" t="n">
        <v>7.44</v>
      </c>
      <c r="O7" s="5" t="n">
        <v>5.67</v>
      </c>
      <c r="P7" s="5" t="n">
        <v>3.98</v>
      </c>
      <c r="Q7" s="5" t="n">
        <v>2293.58</v>
      </c>
      <c r="R7" s="5" t="n">
        <v>-3.53</v>
      </c>
      <c r="S7" s="5" t="n">
        <v>-6.33</v>
      </c>
      <c r="T7" s="5" t="n">
        <v>-1.81</v>
      </c>
      <c r="U7" s="5" t="n">
        <v>-4.73</v>
      </c>
      <c r="V7" s="5" t="n">
        <v>18.42</v>
      </c>
      <c r="W7" s="5" t="n">
        <v>13</v>
      </c>
      <c r="X7" s="5" t="n">
        <v>3.54</v>
      </c>
      <c r="Y7" s="5" t="n">
        <v>48.92</v>
      </c>
      <c r="Z7" s="5" t="n">
        <v>1.29</v>
      </c>
      <c r="AA7" s="5" t="n">
        <v>-10.17</v>
      </c>
      <c r="AB7" s="5" t="n">
        <v>-5.39</v>
      </c>
      <c r="AC7" s="5" t="n">
        <v/>
      </c>
      <c r="AD7" s="5" t="n">
        <v>3.35</v>
      </c>
      <c r="AE7" s="5" t="n">
        <v>50.83</v>
      </c>
    </row>
    <row r="8">
      <c r="A8" s="2" t="inlineStr">
        <is>
          <t>2025-08-05 09:58:42</t>
        </is>
      </c>
      <c r="B8" s="3" t="n">
        <v>84.78</v>
      </c>
      <c r="C8" s="3" t="n">
        <v>122.29</v>
      </c>
      <c r="D8" s="3" t="n">
        <v>1.44</v>
      </c>
      <c r="E8" s="3" t="n">
        <v>195.1</v>
      </c>
      <c r="F8" s="3" t="n">
        <v>219.01</v>
      </c>
      <c r="G8" s="3" t="n">
        <v/>
      </c>
      <c r="H8" s="3" t="n">
        <v/>
      </c>
      <c r="I8" s="3" t="n">
        <v>2.5</v>
      </c>
      <c r="J8" s="3" t="n">
        <v>4.66</v>
      </c>
      <c r="K8" s="3" t="n">
        <v>2.16</v>
      </c>
      <c r="L8" s="3" t="n">
        <v>4.42</v>
      </c>
      <c r="M8" s="3" t="n">
        <v>-0.5</v>
      </c>
      <c r="N8" s="3" t="n">
        <v>18.84</v>
      </c>
      <c r="O8" s="3" t="n">
        <v>16.81</v>
      </c>
      <c r="P8" s="3" t="n">
        <v>19.62</v>
      </c>
      <c r="Q8" s="3" t="n">
        <v>2472.35</v>
      </c>
      <c r="R8" s="3" t="n">
        <v>2.91</v>
      </c>
      <c r="S8" s="3" t="n">
        <v>10.53</v>
      </c>
      <c r="T8" s="3" t="n">
        <v>55.59</v>
      </c>
      <c r="U8" s="3" t="n">
        <v>63.55</v>
      </c>
      <c r="V8" s="3" t="n">
        <v>76.56</v>
      </c>
      <c r="W8" s="3" t="n">
        <v>36.07</v>
      </c>
      <c r="X8" s="3" t="n">
        <v>1.93</v>
      </c>
      <c r="Y8" s="3" t="n">
        <v>51.91</v>
      </c>
      <c r="Z8" s="3" t="n">
        <v>1.44</v>
      </c>
      <c r="AA8" s="3" t="n">
        <v>6.26</v>
      </c>
      <c r="AB8" s="3" t="n">
        <v>0.83</v>
      </c>
      <c r="AC8" s="3" t="n">
        <v/>
      </c>
      <c r="AD8" s="3" t="n">
        <v>5.67</v>
      </c>
      <c r="AE8" s="3" t="n">
        <v/>
      </c>
    </row>
    <row r="9">
      <c r="A9" s="4" t="inlineStr">
        <is>
          <t>2025-08-05 09:59:54</t>
        </is>
      </c>
      <c r="B9" s="5" t="n">
        <v>88.05</v>
      </c>
      <c r="C9" s="5" t="n">
        <v>130.97</v>
      </c>
      <c r="D9" s="5" t="n">
        <v>1.49</v>
      </c>
      <c r="E9" s="5" t="n">
        <v>184.77</v>
      </c>
      <c r="F9" s="5" t="n">
        <v>224.25</v>
      </c>
      <c r="G9" s="5" t="n">
        <v/>
      </c>
      <c r="H9" s="5" t="n">
        <v/>
      </c>
      <c r="I9" s="5" t="n">
        <v>3</v>
      </c>
      <c r="J9" s="5" t="n">
        <v>-2.89</v>
      </c>
      <c r="K9" s="5" t="n">
        <v>-5.89</v>
      </c>
      <c r="L9" s="5" t="n">
        <v>-1.88</v>
      </c>
      <c r="M9" s="5" t="n">
        <v>3.2</v>
      </c>
      <c r="N9" s="5" t="n">
        <v>11.64</v>
      </c>
      <c r="O9" s="5" t="n">
        <v>10.26</v>
      </c>
      <c r="P9" s="5" t="n">
        <v>10.23</v>
      </c>
      <c r="Q9" s="5" t="n">
        <v>2219</v>
      </c>
      <c r="R9" s="5" t="n">
        <v>-21.11</v>
      </c>
      <c r="S9" s="5" t="n">
        <v>-55.73</v>
      </c>
      <c r="T9" s="5" t="n">
        <v>-73.81</v>
      </c>
      <c r="U9" s="5" t="n">
        <v>-102.26</v>
      </c>
      <c r="V9" s="5" t="n">
        <v>40.69</v>
      </c>
      <c r="W9" s="5" t="n">
        <v>22.39</v>
      </c>
      <c r="X9" s="5" t="n">
        <v>5.02</v>
      </c>
      <c r="Y9" s="5" t="n">
        <v>54.12</v>
      </c>
      <c r="Z9" s="5" t="n">
        <v>1.39</v>
      </c>
      <c r="AA9" s="5" t="n">
        <v>-34.88</v>
      </c>
      <c r="AB9" s="5" t="n">
        <v>-5.12</v>
      </c>
      <c r="AC9" s="5" t="n">
        <v/>
      </c>
      <c r="AD9" s="5" t="n">
        <v>4.4</v>
      </c>
      <c r="AE9" s="5" t="n">
        <v/>
      </c>
    </row>
    <row r="10">
      <c r="A10" s="2" t="inlineStr">
        <is>
          <t>2025-08-05 10:00:47</t>
        </is>
      </c>
      <c r="B10" s="3" t="n">
        <v>86.84999999999999</v>
      </c>
      <c r="C10" s="3" t="n">
        <v>129.27</v>
      </c>
      <c r="D10" s="3" t="n">
        <v>1.49</v>
      </c>
      <c r="E10" s="3" t="n">
        <v>190.16</v>
      </c>
      <c r="F10" s="3" t="n">
        <v>224.05</v>
      </c>
      <c r="G10" s="3" t="n">
        <v/>
      </c>
      <c r="H10" s="3" t="n">
        <v/>
      </c>
      <c r="I10" s="3" t="n">
        <v>4</v>
      </c>
      <c r="J10" s="3" t="n">
        <v>-0.7</v>
      </c>
      <c r="K10" s="3" t="n">
        <v>-4.7</v>
      </c>
      <c r="L10" s="3" t="n">
        <v>0.11</v>
      </c>
      <c r="M10" s="3" t="n">
        <v>2.4</v>
      </c>
      <c r="N10" s="3" t="n">
        <v>12.71</v>
      </c>
      <c r="O10" s="3" t="n">
        <v>10.96</v>
      </c>
      <c r="P10" s="3" t="n">
        <v>11.34</v>
      </c>
      <c r="Q10" s="3" t="n">
        <v>2472.54</v>
      </c>
      <c r="R10" s="3" t="n">
        <v>-16.24</v>
      </c>
      <c r="S10" s="3" t="n">
        <v>-50.74</v>
      </c>
      <c r="T10" s="3" t="n">
        <v>-49.64</v>
      </c>
      <c r="U10" s="3" t="n">
        <v>-67.95</v>
      </c>
      <c r="V10" s="3" t="n">
        <v>47.76</v>
      </c>
      <c r="W10" s="3" t="n">
        <v>25.74</v>
      </c>
      <c r="X10" s="3" t="n">
        <v>5.34</v>
      </c>
      <c r="Y10" s="3" t="n">
        <v>51.49</v>
      </c>
      <c r="Z10" s="3" t="n">
        <v>1.28</v>
      </c>
      <c r="AA10" s="3" t="n">
        <v>-23.66</v>
      </c>
      <c r="AB10" s="3" t="n">
        <v>-3.82</v>
      </c>
      <c r="AC10" s="3" t="n">
        <v/>
      </c>
      <c r="AD10" s="3" t="n">
        <v>4.8</v>
      </c>
      <c r="AE10" s="3" t="n">
        <v/>
      </c>
    </row>
    <row r="11">
      <c r="A11" s="4" t="inlineStr">
        <is>
          <t>2025-08-05 10:02:35</t>
        </is>
      </c>
      <c r="B11" s="5" t="n">
        <v>89.09999999999999</v>
      </c>
      <c r="C11" s="5" t="n">
        <v>132.11</v>
      </c>
      <c r="D11" s="5" t="n">
        <v>1.48</v>
      </c>
      <c r="E11" s="5" t="n">
        <v>207.67</v>
      </c>
      <c r="F11" s="5" t="n">
        <v>234.71</v>
      </c>
      <c r="G11" s="5" t="n">
        <v>6.55</v>
      </c>
      <c r="H11" s="5" t="n">
        <v>-9.33</v>
      </c>
      <c r="I11" s="5" t="n">
        <v>3</v>
      </c>
      <c r="J11" s="5" t="n">
        <v>-0.07000000000000001</v>
      </c>
      <c r="K11" s="5" t="n">
        <v>-3.07</v>
      </c>
      <c r="L11" s="5" t="n">
        <v>0.36</v>
      </c>
      <c r="M11" s="5" t="n">
        <v>0</v>
      </c>
      <c r="N11" s="5" t="n">
        <v>14.39</v>
      </c>
      <c r="O11" s="5" t="n">
        <v>12.41</v>
      </c>
      <c r="P11" s="5" t="n">
        <v>14.61</v>
      </c>
      <c r="Q11" s="5" t="n">
        <v>2662.59</v>
      </c>
      <c r="R11" s="5" t="n">
        <v>-3.97</v>
      </c>
      <c r="S11" s="5" t="n">
        <v>-16.06</v>
      </c>
      <c r="T11" s="5" t="n">
        <v>-12.11</v>
      </c>
      <c r="U11" s="5" t="n">
        <v>-15.73</v>
      </c>
      <c r="V11" s="5" t="n">
        <v>65.61</v>
      </c>
      <c r="W11" s="5" t="n">
        <v>32.07</v>
      </c>
      <c r="X11" s="5" t="n">
        <v>2.54</v>
      </c>
      <c r="Y11" s="5" t="n">
        <v>44.26</v>
      </c>
      <c r="Z11" s="5" t="n">
        <v>1.45</v>
      </c>
      <c r="AA11" s="5" t="n">
        <v>-11.55</v>
      </c>
      <c r="AB11" s="5" t="n">
        <v>-1.14</v>
      </c>
      <c r="AC11" s="5" t="n">
        <v/>
      </c>
      <c r="AD11" s="5" t="n">
        <v>5.57</v>
      </c>
      <c r="AE11" s="5" t="n">
        <v>49.16</v>
      </c>
    </row>
    <row r="12">
      <c r="A12" s="2" t="inlineStr">
        <is>
          <t>2025-08-05 10:03:27</t>
        </is>
      </c>
      <c r="B12" s="3" t="n">
        <v>89.56</v>
      </c>
      <c r="C12" s="3" t="n">
        <v>132.48</v>
      </c>
      <c r="D12" s="3" t="n">
        <v>1.48</v>
      </c>
      <c r="E12" s="3" t="n">
        <v>202.97</v>
      </c>
      <c r="F12" s="3" t="n">
        <v>229.07</v>
      </c>
      <c r="G12" s="3" t="n">
        <v>3.71</v>
      </c>
      <c r="H12" s="3" t="n">
        <v>6.94</v>
      </c>
      <c r="I12" s="3" t="n">
        <v>1.7</v>
      </c>
      <c r="J12" s="3" t="n">
        <v>-0.5</v>
      </c>
      <c r="K12" s="3" t="n">
        <v>-2.2</v>
      </c>
      <c r="L12" s="3" t="n">
        <v>-0.03</v>
      </c>
      <c r="M12" s="3" t="n">
        <v>3.3</v>
      </c>
      <c r="N12" s="3" t="n">
        <v>13.92</v>
      </c>
      <c r="O12" s="3" t="n">
        <v>11.72</v>
      </c>
      <c r="P12" s="3" t="n">
        <v>10.78</v>
      </c>
      <c r="Q12" s="3" t="n">
        <v>2955.82</v>
      </c>
      <c r="R12" s="3" t="n">
        <v>-16.51</v>
      </c>
      <c r="S12" s="3" t="n">
        <v>-67.98</v>
      </c>
      <c r="T12" s="3" t="n">
        <v>-68.31999999999999</v>
      </c>
      <c r="U12" s="3" t="n">
        <v>-85.78</v>
      </c>
      <c r="V12" s="3" t="n">
        <v>62.62</v>
      </c>
      <c r="W12" s="3" t="n">
        <v>31.78</v>
      </c>
      <c r="X12" s="3" t="n">
        <v>4.26</v>
      </c>
      <c r="Y12" s="3" t="n">
        <v>52.7</v>
      </c>
      <c r="Z12" s="3" t="n">
        <v>1.55</v>
      </c>
      <c r="AA12" s="3" t="n">
        <v>-11.46</v>
      </c>
      <c r="AB12" s="3" t="n">
        <v>-4.49</v>
      </c>
      <c r="AC12" s="3" t="n">
        <v/>
      </c>
      <c r="AD12" s="3" t="n">
        <v>5.48</v>
      </c>
      <c r="AE12" s="3" t="n">
        <v>50.94</v>
      </c>
    </row>
    <row r="13">
      <c r="A13" s="4" t="inlineStr">
        <is>
          <t>2025-08-05 10:04:07</t>
        </is>
      </c>
      <c r="B13" s="5" t="n">
        <v>88.40000000000001</v>
      </c>
      <c r="C13" s="5" t="n">
        <v>130.56</v>
      </c>
      <c r="D13" s="5" t="n">
        <v>1.48</v>
      </c>
      <c r="E13" s="5" t="n">
        <v>208.24</v>
      </c>
      <c r="F13" s="5" t="n">
        <v>229.23</v>
      </c>
      <c r="G13" s="5" t="n">
        <v/>
      </c>
      <c r="H13" s="5" t="n">
        <v/>
      </c>
      <c r="I13" s="5" t="n">
        <v>4</v>
      </c>
      <c r="J13" s="5" t="n">
        <v>2.92</v>
      </c>
      <c r="K13" s="5" t="n">
        <v>-1.08</v>
      </c>
      <c r="L13" s="5" t="n">
        <v>3.09</v>
      </c>
      <c r="M13" s="5" t="n">
        <v>2.8</v>
      </c>
      <c r="N13" s="5" t="n">
        <v>16.81</v>
      </c>
      <c r="O13" s="5" t="n">
        <v>14.53</v>
      </c>
      <c r="P13" s="5" t="n">
        <v>14.06</v>
      </c>
      <c r="Q13" s="5" t="n">
        <v>2975.48</v>
      </c>
      <c r="R13" s="5" t="n">
        <v>-2.99</v>
      </c>
      <c r="S13" s="5" t="n">
        <v>-13.64</v>
      </c>
      <c r="T13" s="5" t="n">
        <v>20.05</v>
      </c>
      <c r="U13" s="5" t="n">
        <v>20.87</v>
      </c>
      <c r="V13" s="5" t="n">
        <v>82.06999999999999</v>
      </c>
      <c r="W13" s="5" t="n">
        <v>37.98</v>
      </c>
      <c r="X13" s="5" t="n">
        <v>6.14</v>
      </c>
      <c r="Y13" s="5" t="n">
        <v>46.07</v>
      </c>
      <c r="Z13" s="5" t="n">
        <v>1.41</v>
      </c>
      <c r="AA13" s="5" t="n">
        <v>-3.96</v>
      </c>
      <c r="AB13" s="5" t="n">
        <v>-4.92</v>
      </c>
      <c r="AC13" s="5" t="n">
        <v/>
      </c>
      <c r="AD13" s="5" t="n">
        <v>6.04</v>
      </c>
      <c r="AE13" s="5" t="n">
        <v/>
      </c>
    </row>
    <row r="14">
      <c r="A14" s="2" t="inlineStr">
        <is>
          <t>2025-08-05 10:04:54</t>
        </is>
      </c>
      <c r="B14" s="3" t="n">
        <v>88.22</v>
      </c>
      <c r="C14" s="3" t="n">
        <v>129.27</v>
      </c>
      <c r="D14" s="3" t="n">
        <v>1.47</v>
      </c>
      <c r="E14" s="3" t="n">
        <v>207.04</v>
      </c>
      <c r="F14" s="3" t="n">
        <v>224.56</v>
      </c>
      <c r="G14" s="3" t="n">
        <v>10</v>
      </c>
      <c r="H14" s="3" t="n">
        <v>0.02</v>
      </c>
      <c r="I14" s="3" t="n">
        <v>2.4</v>
      </c>
      <c r="J14" s="3" t="n">
        <v>2.95</v>
      </c>
      <c r="K14" s="3" t="n">
        <v>0.55</v>
      </c>
      <c r="L14" s="3" t="n">
        <v>2.88</v>
      </c>
      <c r="M14" s="3" t="n">
        <v>1.6</v>
      </c>
      <c r="N14" s="3" t="n">
        <v>19.36</v>
      </c>
      <c r="O14" s="3" t="n">
        <v>16.91</v>
      </c>
      <c r="P14" s="3" t="n">
        <v>17.81</v>
      </c>
      <c r="Q14" s="3" t="n">
        <v>3142.61</v>
      </c>
      <c r="R14" s="3" t="n">
        <v>1.9</v>
      </c>
      <c r="S14" s="3" t="n">
        <v>9.16</v>
      </c>
      <c r="T14" s="3" t="n">
        <v>40.39</v>
      </c>
      <c r="U14" s="3" t="n">
        <v>44.42</v>
      </c>
      <c r="V14" s="3" t="n">
        <v>97.65000000000001</v>
      </c>
      <c r="W14" s="3" t="n">
        <v>42.5</v>
      </c>
      <c r="X14" s="3" t="n">
        <v>3.54</v>
      </c>
      <c r="Y14" s="3" t="n">
        <v>45.05</v>
      </c>
      <c r="Z14" s="3" t="n">
        <v>1.37</v>
      </c>
      <c r="AA14" s="3" t="n">
        <v>1.46</v>
      </c>
      <c r="AB14" s="3" t="n">
        <v>-3.19</v>
      </c>
      <c r="AC14" s="3" t="n">
        <v/>
      </c>
      <c r="AD14" s="3" t="n">
        <v>6.38</v>
      </c>
      <c r="AE14" s="3" t="n">
        <v>51.25</v>
      </c>
    </row>
    <row r="15">
      <c r="A15" s="4" t="inlineStr">
        <is>
          <t>2025-08-05 10:07:02</t>
        </is>
      </c>
      <c r="B15" s="5" t="n">
        <v>86.95999999999999</v>
      </c>
      <c r="C15" s="5" t="n">
        <v>126.09</v>
      </c>
      <c r="D15" s="5" t="n">
        <v>1.45</v>
      </c>
      <c r="E15" s="5" t="n">
        <v>198.35</v>
      </c>
      <c r="F15" s="5" t="n">
        <v>225.52</v>
      </c>
      <c r="G15" s="5" t="n">
        <v/>
      </c>
      <c r="H15" s="5" t="n">
        <v/>
      </c>
      <c r="I15" s="5" t="n">
        <v>2</v>
      </c>
      <c r="J15" s="5" t="n">
        <v>4.36</v>
      </c>
      <c r="K15" s="5" t="n">
        <v>2.36</v>
      </c>
      <c r="L15" s="5" t="n">
        <v>4.01</v>
      </c>
      <c r="M15" s="5" t="n">
        <v>2.2</v>
      </c>
      <c r="N15" s="5" t="n">
        <v>16.37</v>
      </c>
      <c r="O15" s="5" t="n">
        <v>14.44</v>
      </c>
      <c r="P15" s="5" t="n">
        <v>14.28</v>
      </c>
      <c r="Q15" s="5" t="n">
        <v>2451.61</v>
      </c>
      <c r="R15" s="5" t="n">
        <v>5.48</v>
      </c>
      <c r="S15" s="5" t="n">
        <v>19.61</v>
      </c>
      <c r="T15" s="5" t="n">
        <v>61.19</v>
      </c>
      <c r="U15" s="5" t="n">
        <v>72.12</v>
      </c>
      <c r="V15" s="5" t="n">
        <v>67.11</v>
      </c>
      <c r="W15" s="5" t="n">
        <v>32.66</v>
      </c>
      <c r="X15" s="5" t="n">
        <v>3.49</v>
      </c>
      <c r="Y15" s="5" t="n">
        <v>48.3</v>
      </c>
      <c r="Z15" s="5" t="n">
        <v>1.23</v>
      </c>
      <c r="AA15" s="5" t="n">
        <v>9.33</v>
      </c>
      <c r="AB15" s="5" t="n">
        <v>-3.78</v>
      </c>
      <c r="AC15" s="5" t="n">
        <v/>
      </c>
      <c r="AD15" s="5" t="n">
        <v>5.45</v>
      </c>
      <c r="AE15" s="5" t="n">
        <v/>
      </c>
    </row>
    <row r="16">
      <c r="A16" s="2" t="inlineStr">
        <is>
          <t>2025-08-05 10:07:47</t>
        </is>
      </c>
      <c r="B16" s="3" t="n">
        <v>88.76000000000001</v>
      </c>
      <c r="C16" s="3" t="n">
        <v>129.28</v>
      </c>
      <c r="D16" s="3" t="n">
        <v>1.46</v>
      </c>
      <c r="E16" s="3" t="n">
        <v>162.09</v>
      </c>
      <c r="F16" s="3" t="n">
        <v>206.9</v>
      </c>
      <c r="G16" s="3" t="n">
        <v/>
      </c>
      <c r="H16" s="3" t="n">
        <v/>
      </c>
      <c r="I16" s="3" t="n">
        <v>1.2</v>
      </c>
      <c r="J16" s="3" t="n">
        <v>-5.61</v>
      </c>
      <c r="K16" s="3" t="n">
        <v>-6.81</v>
      </c>
      <c r="L16" s="3" t="n">
        <v>-4.14</v>
      </c>
      <c r="M16" s="3" t="n">
        <v>1.8</v>
      </c>
      <c r="N16" s="3" t="n">
        <v>8.4</v>
      </c>
      <c r="O16" s="3" t="n">
        <v>7</v>
      </c>
      <c r="P16" s="3" t="n">
        <v>9.4</v>
      </c>
      <c r="Q16" s="3" t="n">
        <v>2589</v>
      </c>
      <c r="R16" s="3" t="n">
        <v>-23.71</v>
      </c>
      <c r="S16" s="3" t="n">
        <v>-52.4</v>
      </c>
      <c r="T16" s="3" t="n">
        <v>-87.18000000000001</v>
      </c>
      <c r="U16" s="3" t="n">
        <v>-127.08</v>
      </c>
      <c r="V16" s="3" t="n">
        <v>24.91</v>
      </c>
      <c r="W16" s="3" t="n">
        <v>16.42</v>
      </c>
      <c r="X16" s="3" t="n">
        <v>2.5</v>
      </c>
      <c r="Y16" s="3" t="n">
        <v>46.5</v>
      </c>
      <c r="Z16" s="3" t="n">
        <v>1.4</v>
      </c>
      <c r="AA16" s="3" t="n">
        <v>-45.82</v>
      </c>
      <c r="AB16" s="3" t="n">
        <v>-3.62</v>
      </c>
      <c r="AC16" s="3" t="n">
        <v/>
      </c>
      <c r="AD16" s="3" t="n">
        <v>3.73</v>
      </c>
      <c r="AE16" s="3" t="n">
        <v/>
      </c>
    </row>
    <row r="17">
      <c r="A17" s="4" t="inlineStr">
        <is>
          <t>2025-08-05 10:08:19</t>
        </is>
      </c>
      <c r="B17" s="5" t="n">
        <v>88.36</v>
      </c>
      <c r="C17" s="5" t="n">
        <v>129.16</v>
      </c>
      <c r="D17" s="5" t="n">
        <v>1.46</v>
      </c>
      <c r="E17" s="5" t="n">
        <v>198.43</v>
      </c>
      <c r="F17" s="5" t="n">
        <v>220.56</v>
      </c>
      <c r="G17" s="5" t="n">
        <v/>
      </c>
      <c r="H17" s="5" t="n">
        <v/>
      </c>
      <c r="I17" s="5" t="n">
        <v>2.8</v>
      </c>
      <c r="J17" s="5" t="n">
        <v>-2.44</v>
      </c>
      <c r="K17" s="5" t="n">
        <v>-5.24</v>
      </c>
      <c r="L17" s="5" t="n">
        <v>-1.43</v>
      </c>
      <c r="M17" s="5" t="n">
        <v>2.6</v>
      </c>
      <c r="N17" s="5" t="n">
        <v>15.12</v>
      </c>
      <c r="O17" s="5" t="n">
        <v>12.78</v>
      </c>
      <c r="P17" s="5" t="n">
        <v>13.42</v>
      </c>
      <c r="Q17" s="5" t="n">
        <v>3254.92</v>
      </c>
      <c r="R17" s="5" t="n">
        <v>-13.56</v>
      </c>
      <c r="S17" s="5" t="n">
        <v>-58.67</v>
      </c>
      <c r="T17" s="5" t="n">
        <v>-73.47</v>
      </c>
      <c r="U17" s="5" t="n">
        <v>-87.7</v>
      </c>
      <c r="V17" s="5" t="n">
        <v>69.89</v>
      </c>
      <c r="W17" s="5" t="n">
        <v>35.21</v>
      </c>
      <c r="X17" s="5" t="n">
        <v>4.88</v>
      </c>
      <c r="Y17" s="5" t="n">
        <v>45.7</v>
      </c>
      <c r="Z17" s="5" t="n">
        <v>1.39</v>
      </c>
      <c r="AA17" s="5" t="n">
        <v>-21.97</v>
      </c>
      <c r="AB17" s="5" t="n">
        <v>-4.76</v>
      </c>
      <c r="AC17" s="5" t="n">
        <v/>
      </c>
      <c r="AD17" s="5" t="n">
        <v>5.68</v>
      </c>
      <c r="AE17" s="5" t="n">
        <v/>
      </c>
    </row>
    <row r="18">
      <c r="A18" s="2" t="inlineStr">
        <is>
          <t>2025-08-05 10:09:07</t>
        </is>
      </c>
      <c r="B18" s="3" t="n">
        <v>90.18000000000001</v>
      </c>
      <c r="C18" s="3" t="n">
        <v>133.12</v>
      </c>
      <c r="D18" s="3" t="n">
        <v>1.48</v>
      </c>
      <c r="E18" s="3" t="n">
        <v>212.28</v>
      </c>
      <c r="F18" s="3" t="n">
        <v>230.17</v>
      </c>
      <c r="G18" s="3" t="n">
        <v/>
      </c>
      <c r="H18" s="3" t="n">
        <v/>
      </c>
      <c r="I18" s="3" t="n">
        <v>4.6</v>
      </c>
      <c r="J18" s="3" t="n">
        <v>2.71</v>
      </c>
      <c r="K18" s="3" t="n">
        <v>-1.89</v>
      </c>
      <c r="L18" s="3" t="n">
        <v>3.04</v>
      </c>
      <c r="M18" s="3" t="n">
        <v>2.6</v>
      </c>
      <c r="N18" s="3" t="n">
        <v>17.71</v>
      </c>
      <c r="O18" s="3" t="n">
        <v>15.25</v>
      </c>
      <c r="P18" s="3" t="n">
        <v>15.21</v>
      </c>
      <c r="Q18" s="3" t="n">
        <v>3281</v>
      </c>
      <c r="R18" s="3" t="n">
        <v>-5.93</v>
      </c>
      <c r="S18" s="3" t="n">
        <v>-30.26</v>
      </c>
      <c r="T18" s="3" t="n">
        <v>3.49</v>
      </c>
      <c r="U18" s="3" t="n">
        <v>1.71</v>
      </c>
      <c r="V18" s="3" t="n">
        <v>94.73999999999999</v>
      </c>
      <c r="W18" s="3" t="n">
        <v>41.65</v>
      </c>
      <c r="X18" s="3" t="n">
        <v>6.82</v>
      </c>
      <c r="Y18" s="3" t="n">
        <v>43.88</v>
      </c>
      <c r="Z18" s="3" t="n">
        <v>1.31</v>
      </c>
      <c r="AA18" s="3" t="n">
        <v>-6.96</v>
      </c>
      <c r="AB18" s="3" t="n">
        <v>-4.53</v>
      </c>
      <c r="AC18" s="3" t="n">
        <v/>
      </c>
      <c r="AD18" s="3" t="n">
        <v>6.4</v>
      </c>
      <c r="AE18" s="3" t="n">
        <v/>
      </c>
    </row>
    <row r="19">
      <c r="A19" s="4" t="inlineStr">
        <is>
          <t>2025-08-05 10:10:07</t>
        </is>
      </c>
      <c r="B19" s="5" t="n">
        <v>88.33</v>
      </c>
      <c r="C19" s="5" t="n">
        <v>130.58</v>
      </c>
      <c r="D19" s="5" t="n">
        <v>1.48</v>
      </c>
      <c r="E19" s="5" t="n">
        <v>210.05</v>
      </c>
      <c r="F19" s="5" t="n">
        <v>237.65</v>
      </c>
      <c r="G19" s="5" t="n">
        <v/>
      </c>
      <c r="H19" s="5" t="n">
        <v/>
      </c>
      <c r="I19" s="5" t="n">
        <v>5</v>
      </c>
      <c r="J19" s="5" t="n">
        <v>1.31</v>
      </c>
      <c r="K19" s="5" t="n">
        <v>-3.69</v>
      </c>
      <c r="L19" s="5" t="n">
        <v>1.81</v>
      </c>
      <c r="M19" s="5" t="n">
        <v>3.6</v>
      </c>
      <c r="N19" s="5" t="n">
        <v>16.88</v>
      </c>
      <c r="O19" s="5" t="n">
        <v>15.18</v>
      </c>
      <c r="P19" s="5" t="n">
        <v>13.69</v>
      </c>
      <c r="Q19" s="5" t="n">
        <v>2299</v>
      </c>
      <c r="R19" s="5" t="n">
        <v>-9.970000000000001</v>
      </c>
      <c r="S19" s="5" t="n">
        <v>-37.68</v>
      </c>
      <c r="T19" s="5" t="n">
        <v>-17.77</v>
      </c>
      <c r="U19" s="5" t="n">
        <v>-24.8</v>
      </c>
      <c r="V19" s="5" t="n">
        <v>74.77</v>
      </c>
      <c r="W19" s="5" t="n">
        <v>33.9</v>
      </c>
      <c r="X19" s="5" t="n">
        <v>7.89</v>
      </c>
      <c r="Y19" s="5" t="n">
        <v>47.63</v>
      </c>
      <c r="Z19" s="5" t="n">
        <v>1.34</v>
      </c>
      <c r="AA19" s="5" t="n">
        <v>-15.09</v>
      </c>
      <c r="AB19" s="5" t="n">
        <v>-5.79</v>
      </c>
      <c r="AC19" s="5" t="n">
        <v/>
      </c>
      <c r="AD19" s="5" t="n">
        <v>5.68</v>
      </c>
      <c r="AE19" s="5" t="n">
        <v/>
      </c>
    </row>
    <row r="20">
      <c r="A20" s="2" t="inlineStr">
        <is>
          <t>2025-08-05 10:11:01</t>
        </is>
      </c>
      <c r="B20" s="3" t="n">
        <v>88.92</v>
      </c>
      <c r="C20" s="3" t="n">
        <v>130.84</v>
      </c>
      <c r="D20" s="3" t="n">
        <v>1.47</v>
      </c>
      <c r="E20" s="3" t="n">
        <v>210.53</v>
      </c>
      <c r="F20" s="3" t="n">
        <v>235.78</v>
      </c>
      <c r="G20" s="3" t="n">
        <v/>
      </c>
      <c r="H20" s="3" t="n">
        <v/>
      </c>
      <c r="I20" s="3" t="n">
        <v>3.2</v>
      </c>
      <c r="J20" s="3" t="n">
        <v>1.36</v>
      </c>
      <c r="K20" s="3" t="n">
        <v>-1.83</v>
      </c>
      <c r="L20" s="3" t="n">
        <v>1.6</v>
      </c>
      <c r="M20" s="3" t="n">
        <v>1.6</v>
      </c>
      <c r="N20" s="3" t="n">
        <v>16.56</v>
      </c>
      <c r="O20" s="3" t="n">
        <v>14.64</v>
      </c>
      <c r="P20" s="3" t="n">
        <v>15.01</v>
      </c>
      <c r="Q20" s="3" t="n">
        <v>2511</v>
      </c>
      <c r="R20" s="3" t="n">
        <v>-4.62</v>
      </c>
      <c r="S20" s="3" t="n">
        <v>-18.81</v>
      </c>
      <c r="T20" s="3" t="n">
        <v>-1.18</v>
      </c>
      <c r="U20" s="3" t="n">
        <v>-3.43</v>
      </c>
      <c r="V20" s="3" t="n">
        <v>75.95999999999999</v>
      </c>
      <c r="W20" s="3" t="n">
        <v>34.83</v>
      </c>
      <c r="X20" s="3" t="n">
        <v>4.22</v>
      </c>
      <c r="Y20" s="3" t="n">
        <v>45.63</v>
      </c>
      <c r="Z20" s="3" t="n">
        <v>1.34</v>
      </c>
      <c r="AA20" s="3" t="n">
        <v>-6.44</v>
      </c>
      <c r="AB20" s="3" t="n">
        <v>-3.23</v>
      </c>
      <c r="AC20" s="3" t="n">
        <v/>
      </c>
      <c r="AD20" s="3" t="n">
        <v>5.8</v>
      </c>
      <c r="AE20" s="3" t="n">
        <v/>
      </c>
    </row>
    <row r="21">
      <c r="A21" s="4" t="inlineStr">
        <is>
          <t>2025-08-05 10:11:58</t>
        </is>
      </c>
      <c r="B21" s="5" t="n">
        <v>87.73</v>
      </c>
      <c r="C21" s="5" t="n">
        <v>130.44</v>
      </c>
      <c r="D21" s="5" t="n">
        <v>1.49</v>
      </c>
      <c r="E21" s="5" t="n">
        <v>175.08</v>
      </c>
      <c r="F21" s="5" t="n">
        <v>216.98</v>
      </c>
      <c r="G21" s="5" t="n">
        <v/>
      </c>
      <c r="H21" s="5" t="n">
        <v/>
      </c>
      <c r="I21" s="5" t="n">
        <v>5</v>
      </c>
      <c r="J21" s="5" t="n">
        <v>-2.38</v>
      </c>
      <c r="K21" s="5" t="n">
        <v>-7.38</v>
      </c>
      <c r="L21" s="5" t="n">
        <v>-1.14</v>
      </c>
      <c r="M21" s="5" t="n">
        <v>2</v>
      </c>
      <c r="N21" s="5" t="n">
        <v>10.11</v>
      </c>
      <c r="O21" s="5" t="n">
        <v>8.75</v>
      </c>
      <c r="P21" s="5" t="n">
        <v>10.96</v>
      </c>
      <c r="Q21" s="5" t="n">
        <v>2381</v>
      </c>
      <c r="R21" s="5" t="n">
        <v>-22.75</v>
      </c>
      <c r="S21" s="5" t="n">
        <v>-55.92</v>
      </c>
      <c r="T21" s="5" t="n">
        <v>-66.25</v>
      </c>
      <c r="U21" s="5" t="n">
        <v>-96.65000000000001</v>
      </c>
      <c r="V21" s="5" t="n">
        <v>33.1</v>
      </c>
      <c r="W21" s="5" t="n">
        <v>19.67</v>
      </c>
      <c r="X21" s="5" t="n">
        <v>6.01</v>
      </c>
      <c r="Y21" s="5" t="n">
        <v>50.95</v>
      </c>
      <c r="Z21" s="5" t="n">
        <v>1.27</v>
      </c>
      <c r="AA21" s="5" t="n">
        <v>-41.26</v>
      </c>
      <c r="AB21" s="5" t="n">
        <v>-3.31</v>
      </c>
      <c r="AC21" s="5" t="n">
        <v/>
      </c>
      <c r="AD21" s="5" t="n">
        <v>4.1</v>
      </c>
      <c r="AE21" s="5" t="n">
        <v/>
      </c>
    </row>
    <row r="22">
      <c r="A22" s="2" t="inlineStr">
        <is>
          <t>2025-08-05 10:12:56</t>
        </is>
      </c>
      <c r="B22" s="3" t="n">
        <v>86.97</v>
      </c>
      <c r="C22" s="3" t="n">
        <v>126.15</v>
      </c>
      <c r="D22" s="3" t="n">
        <v>1.45</v>
      </c>
      <c r="E22" s="3" t="n">
        <v>196.79</v>
      </c>
      <c r="F22" s="3" t="n">
        <v>223.27</v>
      </c>
      <c r="G22" s="3" t="n">
        <v/>
      </c>
      <c r="H22" s="3" t="n">
        <v/>
      </c>
      <c r="I22" s="3" t="n">
        <v>3.4</v>
      </c>
      <c r="J22" s="3" t="n">
        <v>-3.34</v>
      </c>
      <c r="K22" s="3" t="n">
        <v>-6.74</v>
      </c>
      <c r="L22" s="3" t="n">
        <v>-2.44</v>
      </c>
      <c r="M22" s="3" t="n">
        <v>2</v>
      </c>
      <c r="N22" s="3" t="n">
        <v>16.51</v>
      </c>
      <c r="O22" s="3" t="n">
        <v>14.66</v>
      </c>
      <c r="P22" s="3" t="n">
        <v>15.94</v>
      </c>
      <c r="Q22" s="3" t="n">
        <v>2553.94</v>
      </c>
      <c r="R22" s="3" t="n">
        <v>-15.47</v>
      </c>
      <c r="S22" s="3" t="n">
        <v>-55.93</v>
      </c>
      <c r="T22" s="3" t="n">
        <v>-80.93000000000001</v>
      </c>
      <c r="U22" s="3" t="n">
        <v>-99.04000000000001</v>
      </c>
      <c r="V22" s="3" t="n">
        <v>67.62</v>
      </c>
      <c r="W22" s="3" t="n">
        <v>32.94</v>
      </c>
      <c r="X22" s="3" t="n">
        <v>4.61</v>
      </c>
      <c r="Y22" s="3" t="n">
        <v>49.76</v>
      </c>
      <c r="Z22" s="3" t="n">
        <v>1.41</v>
      </c>
      <c r="AA22" s="3" t="n">
        <v>-24.03</v>
      </c>
      <c r="AB22" s="3" t="n">
        <v>-3.7</v>
      </c>
      <c r="AC22" s="3" t="n">
        <v/>
      </c>
      <c r="AD22" s="3" t="n">
        <v>5.45</v>
      </c>
      <c r="AE22" s="3" t="n">
        <v/>
      </c>
    </row>
    <row r="23">
      <c r="A23" s="4" t="inlineStr">
        <is>
          <t>2025-08-05 10:13:43</t>
        </is>
      </c>
      <c r="B23" s="5" t="n">
        <v>86.11</v>
      </c>
      <c r="C23" s="5" t="n">
        <v>124.35</v>
      </c>
      <c r="D23" s="5" t="n">
        <v>1.44</v>
      </c>
      <c r="E23" s="5" t="n">
        <v>191.58</v>
      </c>
      <c r="F23" s="5" t="n">
        <v>225.58</v>
      </c>
      <c r="G23" s="5" t="n">
        <v/>
      </c>
      <c r="H23" s="5" t="n">
        <v/>
      </c>
      <c r="I23" s="5" t="n">
        <v>3.3</v>
      </c>
      <c r="J23" s="5" t="n">
        <v>0.1</v>
      </c>
      <c r="K23" s="5" t="n">
        <v>-3.2</v>
      </c>
      <c r="L23" s="5" t="n">
        <v>0.43</v>
      </c>
      <c r="M23" s="5" t="n">
        <v>2.7</v>
      </c>
      <c r="N23" s="5" t="n">
        <v>16.5</v>
      </c>
      <c r="O23" s="5" t="n">
        <v>15.07</v>
      </c>
      <c r="P23" s="5" t="n">
        <v>14.22</v>
      </c>
      <c r="Q23" s="5" t="n">
        <v>1809</v>
      </c>
      <c r="R23" s="5" t="n">
        <v>-8.710000000000001</v>
      </c>
      <c r="S23" s="5" t="n">
        <v>-23.09</v>
      </c>
      <c r="T23" s="5" t="n">
        <v>-18.75</v>
      </c>
      <c r="U23" s="5" t="n">
        <v>-26.06</v>
      </c>
      <c r="V23" s="5" t="n">
        <v>59.52</v>
      </c>
      <c r="W23" s="5" t="n">
        <v>29.06</v>
      </c>
      <c r="X23" s="5" t="n">
        <v>5.01</v>
      </c>
      <c r="Y23" s="5" t="n">
        <v>55.5</v>
      </c>
      <c r="Z23" s="5" t="n">
        <v>1.45</v>
      </c>
      <c r="AA23" s="5" t="n">
        <v>-12.25</v>
      </c>
      <c r="AB23" s="5" t="n">
        <v>-3.15</v>
      </c>
      <c r="AC23" s="5" t="n">
        <v/>
      </c>
      <c r="AD23" s="5" t="n">
        <v>4.94</v>
      </c>
      <c r="AE23" s="5" t="n">
        <v/>
      </c>
    </row>
    <row r="25">
      <c r="A25" s="6" t="inlineStr">
        <is>
          <t>Pos Av</t>
        </is>
      </c>
      <c r="B25" s="7">
        <f>IF(COUNTIF(B2:B23,"&gt;0"),AVERAGEIF(B2:B23,"&gt;0"),"—")</f>
        <v/>
      </c>
      <c r="C25" s="7">
        <f>IF(COUNTIF(C2:C23,"&gt;0"),AVERAGEIF(C2:C23,"&gt;0"),"—")</f>
        <v/>
      </c>
      <c r="D25" s="7">
        <f>IF(COUNTIF(D2:D23,"&gt;0"),AVERAGEIF(D2:D23,"&gt;0"),"—")</f>
        <v/>
      </c>
      <c r="E25" s="7">
        <f>IF(COUNTIF(E2:E23,"&gt;0"),AVERAGEIF(E2:E23,"&gt;0"),"—")</f>
        <v/>
      </c>
      <c r="F25" s="7">
        <f>IF(COUNTIF(F2:F23,"&gt;0"),AVERAGEIF(F2:F23,"&gt;0"),"—")</f>
        <v/>
      </c>
      <c r="G25" s="7">
        <f>IF(COUNTIF(G2:G23,"&gt;0"),AVERAGEIF(G2:G23,"&gt;0"),"—")</f>
        <v/>
      </c>
      <c r="H25" s="7">
        <f>IF(COUNTIF(H2:H23,"&gt;0"),AVERAGEIF(H2:H23,"&gt;0"),"—")</f>
        <v/>
      </c>
      <c r="I25" s="7">
        <f>IF(COUNTIF(I2:I23,"&gt;0"),AVERAGEIF(I2:I23,"&gt;0"),"—")</f>
        <v/>
      </c>
      <c r="J25" s="7">
        <f>IF(COUNTIF(J2:J23,"&gt;0"),AVERAGEIF(J2:J23,"&gt;0"),"—")</f>
        <v/>
      </c>
      <c r="K25" s="7">
        <f>IF(COUNTIF(K2:K23,"&gt;0"),AVERAGEIF(K2:K23,"&gt;0"),"—")</f>
        <v/>
      </c>
      <c r="L25" s="7">
        <f>IF(COUNTIF(L2:L23,"&gt;0"),AVERAGEIF(L2:L23,"&gt;0"),"—")</f>
        <v/>
      </c>
      <c r="M25" s="7">
        <f>IF(COUNTIF(M2:M23,"&gt;0"),AVERAGEIF(M2:M23,"&gt;0"),"—")</f>
        <v/>
      </c>
      <c r="N25" s="7">
        <f>IF(COUNTIF(N2:N23,"&gt;0"),AVERAGEIF(N2:N23,"&gt;0"),"—")</f>
        <v/>
      </c>
      <c r="O25" s="7">
        <f>IF(COUNTIF(O2:O23,"&gt;0"),AVERAGEIF(O2:O23,"&gt;0"),"—")</f>
        <v/>
      </c>
      <c r="P25" s="7">
        <f>IF(COUNTIF(P2:P23,"&gt;0"),AVERAGEIF(P2:P23,"&gt;0"),"—")</f>
        <v/>
      </c>
      <c r="Q25" s="7">
        <f>IF(COUNTIF(Q2:Q23,"&gt;0"),AVERAGEIF(Q2:Q23,"&gt;0"),"—")</f>
        <v/>
      </c>
      <c r="R25" s="7">
        <f>IF(COUNTIF(R2:R23,"&gt;0"),AVERAGEIF(R2:R23,"&gt;0"),"—")</f>
        <v/>
      </c>
      <c r="S25" s="7">
        <f>IF(COUNTIF(S2:S23,"&gt;0"),AVERAGEIF(S2:S23,"&gt;0"),"—")</f>
        <v/>
      </c>
      <c r="T25" s="7">
        <f>IF(COUNTIF(T2:T23,"&gt;0"),AVERAGEIF(T2:T23,"&gt;0"),"—")</f>
        <v/>
      </c>
      <c r="U25" s="7">
        <f>IF(COUNTIF(U2:U23,"&gt;0"),AVERAGEIF(U2:U23,"&gt;0"),"—")</f>
        <v/>
      </c>
      <c r="V25" s="7">
        <f>IF(COUNTIF(V2:V23,"&gt;0"),AVERAGEIF(V2:V23,"&gt;0"),"—")</f>
        <v/>
      </c>
      <c r="W25" s="7">
        <f>IF(COUNTIF(W2:W23,"&gt;0"),AVERAGEIF(W2:W23,"&gt;0"),"—")</f>
        <v/>
      </c>
      <c r="X25" s="7">
        <f>IF(COUNTIF(X2:X23,"&gt;0"),AVERAGEIF(X2:X23,"&gt;0"),"—")</f>
        <v/>
      </c>
      <c r="Y25" s="7">
        <f>IF(COUNTIF(Y2:Y23,"&gt;0"),AVERAGEIF(Y2:Y23,"&gt;0"),"—")</f>
        <v/>
      </c>
      <c r="Z25" s="7">
        <f>IF(COUNTIF(Z2:Z23,"&gt;0"),AVERAGEIF(Z2:Z23,"&gt;0"),"—")</f>
        <v/>
      </c>
      <c r="AA25" s="7">
        <f>IF(COUNTIF(AA2:AA23,"&gt;0"),AVERAGEIF(AA2:AA23,"&gt;0"),"—")</f>
        <v/>
      </c>
      <c r="AB25" s="7">
        <f>IF(COUNTIF(AB2:AB23,"&gt;0"),AVERAGEIF(AB2:AB23,"&gt;0"),"—")</f>
        <v/>
      </c>
      <c r="AC25" s="7">
        <f>IF(COUNTIF(AC2:AC23,"&gt;0"),AVERAGEIF(AC2:AC23,"&gt;0"),"—")</f>
        <v/>
      </c>
      <c r="AD25" s="7">
        <f>IF(COUNTIF(AD2:AD23,"&gt;0"),AVERAGEIF(AD2:AD23,"&gt;0"),"—")</f>
        <v/>
      </c>
      <c r="AE25" s="7">
        <f>IF(COUNTIF(AE2:AE23,"&gt;0"),AVERAGEIF(AE2:AE23,"&gt;0"),"—")</f>
        <v/>
      </c>
    </row>
    <row r="26">
      <c r="A26" s="6" t="inlineStr">
        <is>
          <t>Neg Av</t>
        </is>
      </c>
      <c r="B26" s="7">
        <f>IF(COUNTIF(B2:B23,"&lt;0"),AVERAGEIF(B2:B23,"&lt;0"),"—")</f>
        <v/>
      </c>
      <c r="C26" s="7">
        <f>IF(COUNTIF(C2:C23,"&lt;0"),AVERAGEIF(C2:C23,"&lt;0"),"—")</f>
        <v/>
      </c>
      <c r="D26" s="7">
        <f>IF(COUNTIF(D2:D23,"&lt;0"),AVERAGEIF(D2:D23,"&lt;0"),"—")</f>
        <v/>
      </c>
      <c r="E26" s="7">
        <f>IF(COUNTIF(E2:E23,"&lt;0"),AVERAGEIF(E2:E23,"&lt;0"),"—")</f>
        <v/>
      </c>
      <c r="F26" s="7">
        <f>IF(COUNTIF(F2:F23,"&lt;0"),AVERAGEIF(F2:F23,"&lt;0"),"—")</f>
        <v/>
      </c>
      <c r="G26" s="7">
        <f>IF(COUNTIF(G2:G23,"&lt;0"),AVERAGEIF(G2:G23,"&lt;0"),"—")</f>
        <v/>
      </c>
      <c r="H26" s="7">
        <f>IF(COUNTIF(H2:H23,"&lt;0"),AVERAGEIF(H2:H23,"&lt;0"),"—")</f>
        <v/>
      </c>
      <c r="I26" s="7">
        <f>IF(COUNTIF(I2:I23,"&lt;0"),AVERAGEIF(I2:I23,"&lt;0"),"—")</f>
        <v/>
      </c>
      <c r="J26" s="7">
        <f>IF(COUNTIF(J2:J23,"&lt;0"),AVERAGEIF(J2:J23,"&lt;0"),"—")</f>
        <v/>
      </c>
      <c r="K26" s="7">
        <f>IF(COUNTIF(K2:K23,"&lt;0"),AVERAGEIF(K2:K23,"&lt;0"),"—")</f>
        <v/>
      </c>
      <c r="L26" s="7">
        <f>IF(COUNTIF(L2:L23,"&lt;0"),AVERAGEIF(L2:L23,"&lt;0"),"—")</f>
        <v/>
      </c>
      <c r="M26" s="7">
        <f>IF(COUNTIF(M2:M23,"&lt;0"),AVERAGEIF(M2:M23,"&lt;0"),"—")</f>
        <v/>
      </c>
      <c r="N26" s="7">
        <f>IF(COUNTIF(N2:N23,"&lt;0"),AVERAGEIF(N2:N23,"&lt;0"),"—")</f>
        <v/>
      </c>
      <c r="O26" s="7">
        <f>IF(COUNTIF(O2:O23,"&lt;0"),AVERAGEIF(O2:O23,"&lt;0"),"—")</f>
        <v/>
      </c>
      <c r="P26" s="7">
        <f>IF(COUNTIF(P2:P23,"&lt;0"),AVERAGEIF(P2:P23,"&lt;0"),"—")</f>
        <v/>
      </c>
      <c r="Q26" s="7">
        <f>IF(COUNTIF(Q2:Q23,"&lt;0"),AVERAGEIF(Q2:Q23,"&lt;0"),"—")</f>
        <v/>
      </c>
      <c r="R26" s="7">
        <f>IF(COUNTIF(R2:R23,"&lt;0"),AVERAGEIF(R2:R23,"&lt;0"),"—")</f>
        <v/>
      </c>
      <c r="S26" s="7">
        <f>IF(COUNTIF(S2:S23,"&lt;0"),AVERAGEIF(S2:S23,"&lt;0"),"—")</f>
        <v/>
      </c>
      <c r="T26" s="7">
        <f>IF(COUNTIF(T2:T23,"&lt;0"),AVERAGEIF(T2:T23,"&lt;0"),"—")</f>
        <v/>
      </c>
      <c r="U26" s="7">
        <f>IF(COUNTIF(U2:U23,"&lt;0"),AVERAGEIF(U2:U23,"&lt;0"),"—")</f>
        <v/>
      </c>
      <c r="V26" s="7">
        <f>IF(COUNTIF(V2:V23,"&lt;0"),AVERAGEIF(V2:V23,"&lt;0"),"—")</f>
        <v/>
      </c>
      <c r="W26" s="7">
        <f>IF(COUNTIF(W2:W23,"&lt;0"),AVERAGEIF(W2:W23,"&lt;0"),"—")</f>
        <v/>
      </c>
      <c r="X26" s="7">
        <f>IF(COUNTIF(X2:X23,"&lt;0"),AVERAGEIF(X2:X23,"&lt;0"),"—")</f>
        <v/>
      </c>
      <c r="Y26" s="7">
        <f>IF(COUNTIF(Y2:Y23,"&lt;0"),AVERAGEIF(Y2:Y23,"&lt;0"),"—")</f>
        <v/>
      </c>
      <c r="Z26" s="7">
        <f>IF(COUNTIF(Z2:Z23,"&lt;0"),AVERAGEIF(Z2:Z23,"&lt;0"),"—")</f>
        <v/>
      </c>
      <c r="AA26" s="7">
        <f>IF(COUNTIF(AA2:AA23,"&lt;0"),AVERAGEIF(AA2:AA23,"&lt;0"),"—")</f>
        <v/>
      </c>
      <c r="AB26" s="7">
        <f>IF(COUNTIF(AB2:AB23,"&lt;0"),AVERAGEIF(AB2:AB23,"&lt;0"),"—")</f>
        <v/>
      </c>
      <c r="AC26" s="7">
        <f>IF(COUNTIF(AC2:AC23,"&lt;0"),AVERAGEIF(AC2:AC23,"&lt;0"),"—")</f>
        <v/>
      </c>
      <c r="AD26" s="7">
        <f>IF(COUNTIF(AD2:AD23,"&lt;0"),AVERAGEIF(AD2:AD23,"&lt;0"),"—")</f>
        <v/>
      </c>
      <c r="AE26" s="7">
        <f>IF(COUNTIF(AE2:AE23,"&lt;0"),AVERAGEIF(AE2:AE23,"&lt;0"),"—")</f>
        <v/>
      </c>
    </row>
    <row r="27">
      <c r="A27" s="6" t="inlineStr">
        <is>
          <t>1 Av</t>
        </is>
      </c>
      <c r="B27" s="7">
        <f>IF(COUNTA(B2:B23),AVERAGE(B2:B23),"—")</f>
        <v/>
      </c>
      <c r="C27" s="7">
        <f>IF(COUNTA(C2:C23),AVERAGE(C2:C23),"—")</f>
        <v/>
      </c>
      <c r="D27" s="7">
        <f>IF(COUNTA(D2:D23),AVERAGE(D2:D23),"—")</f>
        <v/>
      </c>
      <c r="E27" s="7">
        <f>IF(COUNTA(E2:E23),AVERAGE(E2:E23),"—")</f>
        <v/>
      </c>
      <c r="F27" s="7">
        <f>IF(COUNTA(F2:F23),AVERAGE(F2:F23),"—")</f>
        <v/>
      </c>
      <c r="G27" s="7">
        <f>IF(COUNTA(G2:G23),AVERAGE(G2:G23),"—")</f>
        <v/>
      </c>
      <c r="H27" s="7">
        <f>IF(COUNTA(H2:H23),AVERAGE(H2:H23),"—")</f>
        <v/>
      </c>
      <c r="I27" s="7">
        <f>IF(COUNTA(I2:I23),AVERAGE(I2:I23),"—")</f>
        <v/>
      </c>
      <c r="J27" s="7">
        <f>IF(COUNTA(J2:J23),AVERAGE(J2:J23),"—")</f>
        <v/>
      </c>
      <c r="K27" s="7">
        <f>IF(COUNTA(K2:K23),AVERAGE(K2:K23),"—")</f>
        <v/>
      </c>
      <c r="L27" s="7">
        <f>IF(COUNTA(L2:L23),AVERAGE(L2:L23),"—")</f>
        <v/>
      </c>
      <c r="M27" s="7">
        <f>IF(COUNTA(M2:M23),AVERAGE(M2:M23),"—")</f>
        <v/>
      </c>
      <c r="N27" s="7">
        <f>IF(COUNTA(N2:N23),AVERAGE(N2:N23),"—")</f>
        <v/>
      </c>
      <c r="O27" s="7">
        <f>IF(COUNTA(O2:O23),AVERAGE(O2:O23),"—")</f>
        <v/>
      </c>
      <c r="P27" s="7">
        <f>IF(COUNTA(P2:P23),AVERAGE(P2:P23),"—")</f>
        <v/>
      </c>
      <c r="Q27" s="7">
        <f>IF(COUNTA(Q2:Q23),AVERAGE(Q2:Q23),"—")</f>
        <v/>
      </c>
      <c r="R27" s="7">
        <f>IF(COUNTA(R2:R23),AVERAGE(R2:R23),"—")</f>
        <v/>
      </c>
      <c r="S27" s="7">
        <f>IF(COUNTA(S2:S23),AVERAGE(S2:S23),"—")</f>
        <v/>
      </c>
      <c r="T27" s="7">
        <f>IF(COUNTA(T2:T23),AVERAGE(T2:T23),"—")</f>
        <v/>
      </c>
      <c r="U27" s="7">
        <f>IF(COUNTA(U2:U23),AVERAGE(U2:U23),"—")</f>
        <v/>
      </c>
      <c r="V27" s="7">
        <f>IF(COUNTA(V2:V23),AVERAGE(V2:V23),"—")</f>
        <v/>
      </c>
      <c r="W27" s="7">
        <f>IF(COUNTA(W2:W23),AVERAGE(W2:W23),"—")</f>
        <v/>
      </c>
      <c r="X27" s="7">
        <f>IF(COUNTA(X2:X23),AVERAGE(X2:X23),"—")</f>
        <v/>
      </c>
      <c r="Y27" s="7">
        <f>IF(COUNTA(Y2:Y23),AVERAGE(Y2:Y23),"—")</f>
        <v/>
      </c>
      <c r="Z27" s="7">
        <f>IF(COUNTA(Z2:Z23),AVERAGE(Z2:Z23),"—")</f>
        <v/>
      </c>
      <c r="AA27" s="7">
        <f>IF(COUNTA(AA2:AA23),AVERAGE(AA2:AA23),"—")</f>
        <v/>
      </c>
      <c r="AB27" s="7">
        <f>IF(COUNTA(AB2:AB23),AVERAGE(AB2:AB23),"—")</f>
        <v/>
      </c>
      <c r="AC27" s="7">
        <f>IF(COUNTA(AC2:AC23),AVERAGE(AC2:AC23),"—")</f>
        <v/>
      </c>
      <c r="AD27" s="7">
        <f>IF(COUNTA(AD2:AD23),AVERAGE(AD2:AD23),"—")</f>
        <v/>
      </c>
      <c r="AE27" s="7">
        <f>IF(COUNTA(AE2:AE23),AVERAGE(AE2:AE23),"—")</f>
        <v/>
      </c>
    </row>
    <row r="28">
      <c r="A28" s="6" t="inlineStr">
        <is>
          <t>Spread</t>
        </is>
      </c>
      <c r="B28" s="7">
        <f>IF(AND(ISNUMBER(B26),ISNUMBER(B27)),B26-B27,"—")</f>
        <v/>
      </c>
      <c r="C28" s="7">
        <f>IF(AND(ISNUMBER(C26),ISNUMBER(C27)),C26-C27,"—")</f>
        <v/>
      </c>
      <c r="D28" s="7">
        <f>IF(AND(ISNUMBER(D26),ISNUMBER(D27)),D26-D27,"—")</f>
        <v/>
      </c>
      <c r="E28" s="7">
        <f>IF(AND(ISNUMBER(E26),ISNUMBER(E27)),E26-E27,"—")</f>
        <v/>
      </c>
      <c r="F28" s="7">
        <f>IF(AND(ISNUMBER(F26),ISNUMBER(F27)),F26-F27,"—")</f>
        <v/>
      </c>
      <c r="G28" s="7">
        <f>IF(AND(ISNUMBER(G26),ISNUMBER(G27)),G26-G27,"—")</f>
        <v/>
      </c>
      <c r="H28" s="7">
        <f>IF(AND(ISNUMBER(H26),ISNUMBER(H27)),H26-H27,"—")</f>
        <v/>
      </c>
      <c r="I28" s="7">
        <f>IF(AND(ISNUMBER(I26),ISNUMBER(I27)),I26-I27,"—")</f>
        <v/>
      </c>
      <c r="J28" s="7">
        <f>IF(AND(ISNUMBER(J26),ISNUMBER(J27)),J26-J27,"—")</f>
        <v/>
      </c>
      <c r="K28" s="7">
        <f>IF(AND(ISNUMBER(K26),ISNUMBER(K27)),K26-K27,"—")</f>
        <v/>
      </c>
      <c r="L28" s="7">
        <f>IF(AND(ISNUMBER(L26),ISNUMBER(L27)),L26-L27,"—")</f>
        <v/>
      </c>
      <c r="M28" s="7">
        <f>IF(AND(ISNUMBER(M26),ISNUMBER(M27)),M26-M27,"—")</f>
        <v/>
      </c>
      <c r="N28" s="7">
        <f>IF(AND(ISNUMBER(N26),ISNUMBER(N27)),N26-N27,"—")</f>
        <v/>
      </c>
      <c r="O28" s="7">
        <f>IF(AND(ISNUMBER(O26),ISNUMBER(O27)),O26-O27,"—")</f>
        <v/>
      </c>
      <c r="P28" s="7">
        <f>IF(AND(ISNUMBER(P26),ISNUMBER(P27)),P26-P27,"—")</f>
        <v/>
      </c>
      <c r="Q28" s="7">
        <f>IF(AND(ISNUMBER(Q26),ISNUMBER(Q27)),Q26-Q27,"—")</f>
        <v/>
      </c>
      <c r="R28" s="7">
        <f>IF(AND(ISNUMBER(R26),ISNUMBER(R27)),R26-R27,"—")</f>
        <v/>
      </c>
      <c r="S28" s="7">
        <f>IF(AND(ISNUMBER(S26),ISNUMBER(S27)),S26-S27,"—")</f>
        <v/>
      </c>
      <c r="T28" s="7">
        <f>IF(AND(ISNUMBER(T26),ISNUMBER(T27)),T26-T27,"—")</f>
        <v/>
      </c>
      <c r="U28" s="7">
        <f>IF(AND(ISNUMBER(U26),ISNUMBER(U27)),U26-U27,"—")</f>
        <v/>
      </c>
      <c r="V28" s="7">
        <f>IF(AND(ISNUMBER(V26),ISNUMBER(V27)),V26-V27,"—")</f>
        <v/>
      </c>
      <c r="W28" s="7">
        <f>IF(AND(ISNUMBER(W26),ISNUMBER(W27)),W26-W27,"—")</f>
        <v/>
      </c>
      <c r="X28" s="7">
        <f>IF(AND(ISNUMBER(X26),ISNUMBER(X27)),X26-X27,"—")</f>
        <v/>
      </c>
      <c r="Y28" s="7">
        <f>IF(AND(ISNUMBER(Y26),ISNUMBER(Y27)),Y26-Y27,"—")</f>
        <v/>
      </c>
      <c r="Z28" s="7">
        <f>IF(AND(ISNUMBER(Z26),ISNUMBER(Z27)),Z26-Z27,"—")</f>
        <v/>
      </c>
      <c r="AA28" s="7">
        <f>IF(AND(ISNUMBER(AA26),ISNUMBER(AA27)),AA26-AA27,"—")</f>
        <v/>
      </c>
      <c r="AB28" s="7">
        <f>IF(AND(ISNUMBER(AB26),ISNUMBER(AB27)),AB26-AB27,"—")</f>
        <v/>
      </c>
      <c r="AC28" s="7">
        <f>IF(AND(ISNUMBER(AC26),ISNUMBER(AC27)),AC26-AC27,"—")</f>
        <v/>
      </c>
      <c r="AD28" s="7">
        <f>IF(AND(ISNUMBER(AD26),ISNUMBER(AD27)),AD26-AD27,"—")</f>
        <v/>
      </c>
      <c r="AE28" s="7">
        <f>IF(AND(ISNUMBER(AE26),ISNUMBER(AE27)),AE26-AE27,"—")</f>
        <v/>
      </c>
    </row>
    <row r="29">
      <c r="A29" s="6" t="inlineStr">
        <is>
          <t>% Pos</t>
        </is>
      </c>
      <c r="B29" s="8">
        <f>IF(COUNTA(B2:B23),COUNTIF(B2:B23,"&gt;0")/COUNTA(B2:B23),"—")</f>
        <v/>
      </c>
      <c r="C29" s="8">
        <f>IF(COUNTA(C2:C23),COUNTIF(C2:C23,"&gt;0")/COUNTA(C2:C23),"—")</f>
        <v/>
      </c>
      <c r="D29" s="8">
        <f>IF(COUNTA(D2:D23),COUNTIF(D2:D23,"&gt;0")/COUNTA(D2:D23),"—")</f>
        <v/>
      </c>
      <c r="E29" s="8">
        <f>IF(COUNTA(E2:E23),COUNTIF(E2:E23,"&gt;0")/COUNTA(E2:E23),"—")</f>
        <v/>
      </c>
      <c r="F29" s="8">
        <f>IF(COUNTA(F2:F23),COUNTIF(F2:F23,"&gt;0")/COUNTA(F2:F23),"—")</f>
        <v/>
      </c>
      <c r="G29" s="8">
        <f>IF(COUNTA(G2:G23),COUNTIF(G2:G23,"&gt;0")/COUNTA(G2:G23),"—")</f>
        <v/>
      </c>
      <c r="H29" s="8">
        <f>IF(COUNTA(H2:H23),COUNTIF(H2:H23,"&gt;0")/COUNTA(H2:H23),"—")</f>
        <v/>
      </c>
      <c r="I29" s="8">
        <f>IF(COUNTA(I2:I23),COUNTIF(I2:I23,"&gt;0")/COUNTA(I2:I23),"—")</f>
        <v/>
      </c>
      <c r="J29" s="8">
        <f>IF(COUNTA(J2:J23),COUNTIF(J2:J23,"&gt;0")/COUNTA(J2:J23),"—")</f>
        <v/>
      </c>
      <c r="K29" s="8">
        <f>IF(COUNTA(K2:K23),COUNTIF(K2:K23,"&gt;0")/COUNTA(K2:K23),"—")</f>
        <v/>
      </c>
      <c r="L29" s="8">
        <f>IF(COUNTA(L2:L23),COUNTIF(L2:L23,"&gt;0")/COUNTA(L2:L23),"—")</f>
        <v/>
      </c>
      <c r="M29" s="8">
        <f>IF(COUNTA(M2:M23),COUNTIF(M2:M23,"&gt;0")/COUNTA(M2:M23),"—")</f>
        <v/>
      </c>
      <c r="N29" s="8">
        <f>IF(COUNTA(N2:N23),COUNTIF(N2:N23,"&gt;0")/COUNTA(N2:N23),"—")</f>
        <v/>
      </c>
      <c r="O29" s="8">
        <f>IF(COUNTA(O2:O23),COUNTIF(O2:O23,"&gt;0")/COUNTA(O2:O23),"—")</f>
        <v/>
      </c>
      <c r="P29" s="8">
        <f>IF(COUNTA(P2:P23),COUNTIF(P2:P23,"&gt;0")/COUNTA(P2:P23),"—")</f>
        <v/>
      </c>
      <c r="Q29" s="8">
        <f>IF(COUNTA(Q2:Q23),COUNTIF(Q2:Q23,"&gt;0")/COUNTA(Q2:Q23),"—")</f>
        <v/>
      </c>
      <c r="R29" s="8">
        <f>IF(COUNTA(R2:R23),COUNTIF(R2:R23,"&gt;0")/COUNTA(R2:R23),"—")</f>
        <v/>
      </c>
      <c r="S29" s="8">
        <f>IF(COUNTA(S2:S23),COUNTIF(S2:S23,"&gt;0")/COUNTA(S2:S23),"—")</f>
        <v/>
      </c>
      <c r="T29" s="8">
        <f>IF(COUNTA(T2:T23),COUNTIF(T2:T23,"&gt;0")/COUNTA(T2:T23),"—")</f>
        <v/>
      </c>
      <c r="U29" s="8">
        <f>IF(COUNTA(U2:U23),COUNTIF(U2:U23,"&gt;0")/COUNTA(U2:U23),"—")</f>
        <v/>
      </c>
      <c r="V29" s="8">
        <f>IF(COUNTA(V2:V23),COUNTIF(V2:V23,"&gt;0")/COUNTA(V2:V23),"—")</f>
        <v/>
      </c>
      <c r="W29" s="8">
        <f>IF(COUNTA(W2:W23),COUNTIF(W2:W23,"&gt;0")/COUNTA(W2:W23),"—")</f>
        <v/>
      </c>
      <c r="X29" s="8">
        <f>IF(COUNTA(X2:X23),COUNTIF(X2:X23,"&gt;0")/COUNTA(X2:X23),"—")</f>
        <v/>
      </c>
      <c r="Y29" s="8">
        <f>IF(COUNTA(Y2:Y23),COUNTIF(Y2:Y23,"&gt;0")/COUNTA(Y2:Y23),"—")</f>
        <v/>
      </c>
      <c r="Z29" s="8">
        <f>IF(COUNTA(Z2:Z23),COUNTIF(Z2:Z23,"&gt;0")/COUNTA(Z2:Z23),"—")</f>
        <v/>
      </c>
      <c r="AA29" s="8">
        <f>IF(COUNTA(AA2:AA23),COUNTIF(AA2:AA23,"&gt;0")/COUNTA(AA2:AA23),"—")</f>
        <v/>
      </c>
      <c r="AB29" s="8">
        <f>IF(COUNTA(AB2:AB23),COUNTIF(AB2:AB23,"&gt;0")/COUNTA(AB2:AB23),"—")</f>
        <v/>
      </c>
      <c r="AC29" s="8">
        <f>IF(COUNTA(AC2:AC23),COUNTIF(AC2:AC23,"&gt;0")/COUNTA(AC2:AC23),"—")</f>
        <v/>
      </c>
      <c r="AD29" s="8">
        <f>IF(COUNTA(AD2:AD23),COUNTIF(AD2:AD23,"&gt;0")/COUNTA(AD2:AD23),"—")</f>
        <v/>
      </c>
      <c r="AE29" s="8">
        <f>IF(COUNTA(AE2:AE23),COUNTIF(AE2:AE23,"&gt;0")/COUNTA(AE2:AE23),"—")</f>
        <v/>
      </c>
    </row>
    <row r="30">
      <c r="A30" s="6" t="inlineStr">
        <is>
          <t>% Neg</t>
        </is>
      </c>
      <c r="B30" s="8">
        <f>IF(COUNTA(B2:B23),COUNTIF(B2:B23,"&lt;0")/COUNTA(B2:B23),"—")</f>
        <v/>
      </c>
      <c r="C30" s="8">
        <f>IF(COUNTA(C2:C23),COUNTIF(C2:C23,"&lt;0")/COUNTA(C2:C23),"—")</f>
        <v/>
      </c>
      <c r="D30" s="8">
        <f>IF(COUNTA(D2:D23),COUNTIF(D2:D23,"&lt;0")/COUNTA(D2:D23),"—")</f>
        <v/>
      </c>
      <c r="E30" s="8">
        <f>IF(COUNTA(E2:E23),COUNTIF(E2:E23,"&lt;0")/COUNTA(E2:E23),"—")</f>
        <v/>
      </c>
      <c r="F30" s="8">
        <f>IF(COUNTA(F2:F23),COUNTIF(F2:F23,"&lt;0")/COUNTA(F2:F23),"—")</f>
        <v/>
      </c>
      <c r="G30" s="8">
        <f>IF(COUNTA(G2:G23),COUNTIF(G2:G23,"&lt;0")/COUNTA(G2:G23),"—")</f>
        <v/>
      </c>
      <c r="H30" s="8">
        <f>IF(COUNTA(H2:H23),COUNTIF(H2:H23,"&lt;0")/COUNTA(H2:H23),"—")</f>
        <v/>
      </c>
      <c r="I30" s="8">
        <f>IF(COUNTA(I2:I23),COUNTIF(I2:I23,"&lt;0")/COUNTA(I2:I23),"—")</f>
        <v/>
      </c>
      <c r="J30" s="8">
        <f>IF(COUNTA(J2:J23),COUNTIF(J2:J23,"&lt;0")/COUNTA(J2:J23),"—")</f>
        <v/>
      </c>
      <c r="K30" s="8">
        <f>IF(COUNTA(K2:K23),COUNTIF(K2:K23,"&lt;0")/COUNTA(K2:K23),"—")</f>
        <v/>
      </c>
      <c r="L30" s="8">
        <f>IF(COUNTA(L2:L23),COUNTIF(L2:L23,"&lt;0")/COUNTA(L2:L23),"—")</f>
        <v/>
      </c>
      <c r="M30" s="8">
        <f>IF(COUNTA(M2:M23),COUNTIF(M2:M23,"&lt;0")/COUNTA(M2:M23),"—")</f>
        <v/>
      </c>
      <c r="N30" s="8">
        <f>IF(COUNTA(N2:N23),COUNTIF(N2:N23,"&lt;0")/COUNTA(N2:N23),"—")</f>
        <v/>
      </c>
      <c r="O30" s="8">
        <f>IF(COUNTA(O2:O23),COUNTIF(O2:O23,"&lt;0")/COUNTA(O2:O23),"—")</f>
        <v/>
      </c>
      <c r="P30" s="8">
        <f>IF(COUNTA(P2:P23),COUNTIF(P2:P23,"&lt;0")/COUNTA(P2:P23),"—")</f>
        <v/>
      </c>
      <c r="Q30" s="8">
        <f>IF(COUNTA(Q2:Q23),COUNTIF(Q2:Q23,"&lt;0")/COUNTA(Q2:Q23),"—")</f>
        <v/>
      </c>
      <c r="R30" s="8">
        <f>IF(COUNTA(R2:R23),COUNTIF(R2:R23,"&lt;0")/COUNTA(R2:R23),"—")</f>
        <v/>
      </c>
      <c r="S30" s="8">
        <f>IF(COUNTA(S2:S23),COUNTIF(S2:S23,"&lt;0")/COUNTA(S2:S23),"—")</f>
        <v/>
      </c>
      <c r="T30" s="8">
        <f>IF(COUNTA(T2:T23),COUNTIF(T2:T23,"&lt;0")/COUNTA(T2:T23),"—")</f>
        <v/>
      </c>
      <c r="U30" s="8">
        <f>IF(COUNTA(U2:U23),COUNTIF(U2:U23,"&lt;0")/COUNTA(U2:U23),"—")</f>
        <v/>
      </c>
      <c r="V30" s="8">
        <f>IF(COUNTA(V2:V23),COUNTIF(V2:V23,"&lt;0")/COUNTA(V2:V23),"—")</f>
        <v/>
      </c>
      <c r="W30" s="8">
        <f>IF(COUNTA(W2:W23),COUNTIF(W2:W23,"&lt;0")/COUNTA(W2:W23),"—")</f>
        <v/>
      </c>
      <c r="X30" s="8">
        <f>IF(COUNTA(X2:X23),COUNTIF(X2:X23,"&lt;0")/COUNTA(X2:X23),"—")</f>
        <v/>
      </c>
      <c r="Y30" s="8">
        <f>IF(COUNTA(Y2:Y23),COUNTIF(Y2:Y23,"&lt;0")/COUNTA(Y2:Y23),"—")</f>
        <v/>
      </c>
      <c r="Z30" s="8">
        <f>IF(COUNTA(Z2:Z23),COUNTIF(Z2:Z23,"&lt;0")/COUNTA(Z2:Z23),"—")</f>
        <v/>
      </c>
      <c r="AA30" s="8">
        <f>IF(COUNTA(AA2:AA23),COUNTIF(AA2:AA23,"&lt;0")/COUNTA(AA2:AA23),"—")</f>
        <v/>
      </c>
      <c r="AB30" s="8">
        <f>IF(COUNTA(AB2:AB23),COUNTIF(AB2:AB23,"&lt;0")/COUNTA(AB2:AB23),"—")</f>
        <v/>
      </c>
      <c r="AC30" s="8">
        <f>IF(COUNTA(AC2:AC23),COUNTIF(AC2:AC23,"&lt;0")/COUNTA(AC2:AC23),"—")</f>
        <v/>
      </c>
      <c r="AD30" s="8">
        <f>IF(COUNTA(AD2:AD23),COUNTIF(AD2:AD23,"&lt;0")/COUNTA(AD2:AD23),"—")</f>
        <v/>
      </c>
      <c r="AE30" s="8">
        <f>IF(COUNTA(AE2:AE23),COUNTIF(AE2:AE23,"&lt;0")/COUNTA(AE2:AE23),"—")</f>
        <v/>
      </c>
    </row>
    <row r="32">
      <c r="A32" s="6" t="inlineStr">
        <is>
          <t>Best Swing</t>
        </is>
      </c>
      <c r="B32" s="9" t="inlineStr">
        <is>
          <t>2025-08-05 09:54:17</t>
        </is>
      </c>
      <c r="C32" s="10" t="n">
        <v>81.7</v>
      </c>
      <c r="D32" s="10" t="n">
        <v>121.8</v>
      </c>
      <c r="E32" s="10" t="n">
        <v>1.49</v>
      </c>
      <c r="F32" s="10" t="n">
        <v>174.42</v>
      </c>
      <c r="G32" s="10" t="n">
        <v>208.96</v>
      </c>
      <c r="H32" s="10" t="n">
        <v/>
      </c>
      <c r="I32" s="10" t="n">
        <v/>
      </c>
      <c r="J32" s="10" t="n">
        <v>1.4</v>
      </c>
      <c r="K32" s="10" t="n">
        <v>1.37</v>
      </c>
      <c r="L32" s="10" t="n">
        <v>-0.03</v>
      </c>
      <c r="M32" s="10" t="n">
        <v>1.37</v>
      </c>
      <c r="N32" s="10" t="n">
        <v>-1.6</v>
      </c>
      <c r="O32" s="10" t="n">
        <v>12.78</v>
      </c>
      <c r="P32" s="10" t="n">
        <v>10.71</v>
      </c>
      <c r="Q32" s="10" t="n">
        <v>14.41</v>
      </c>
      <c r="R32" s="10" t="n">
        <v>2496.55</v>
      </c>
      <c r="S32" s="10" t="n">
        <v>0.09</v>
      </c>
      <c r="T32" s="10" t="n">
        <v>0.24</v>
      </c>
      <c r="U32" s="10" t="n">
        <v>12.75</v>
      </c>
      <c r="V32" s="10" t="n">
        <v>15.33</v>
      </c>
      <c r="W32" s="10" t="n">
        <v>41.58</v>
      </c>
      <c r="X32" s="10" t="n">
        <v>24.36</v>
      </c>
      <c r="Y32" s="10" t="n">
        <v>-0.71</v>
      </c>
      <c r="Z32" s="10" t="n">
        <v>45.41</v>
      </c>
      <c r="AA32" s="10" t="n">
        <v>1.4</v>
      </c>
      <c r="AB32" s="10" t="n">
        <v>-0.02</v>
      </c>
      <c r="AC32" s="10" t="n">
        <v>1.26</v>
      </c>
      <c r="AD32" s="10" t="n">
        <v/>
      </c>
      <c r="AE32" s="10" t="n">
        <v>4.52</v>
      </c>
      <c r="AF32" s="10" t="n">
        <v/>
      </c>
    </row>
  </sheetData>
  <autoFilter ref="A1:AE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.5" customWidth="1" min="2" max="2"/>
    <col width="11.5" customWidth="1" min="3" max="3"/>
    <col width="9.4" customWidth="1" min="4" max="4"/>
    <col width="9.4" customWidth="1" min="5" max="5"/>
    <col width="9.4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24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9.4" customWidth="1" min="19" max="19"/>
    <col width="11.5" customWidth="1" min="20" max="20"/>
    <col width="11.5" customWidth="1" min="21" max="21"/>
    <col width="11.5" customWidth="1" min="22" max="22"/>
    <col width="13.5" customWidth="1" min="23" max="23"/>
    <col width="23" customWidth="1" min="24" max="24"/>
    <col width="11.5" customWidth="1" min="25" max="25"/>
    <col width="9.4" customWidth="1" min="26" max="26"/>
    <col width="9.4" customWidth="1" min="27" max="27"/>
    <col width="11.5" customWidth="1" min="28" max="28"/>
    <col width="11.5" customWidth="1" min="29" max="29"/>
    <col width="14" customWidth="1" min="30" max="30"/>
    <col width="11.5" customWidth="1" min="31" max="31"/>
  </cols>
  <sheetData>
    <row r="1" ht="3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2025-08-05 09:48:28</t>
        </is>
      </c>
      <c r="B2" s="3" t="n">
        <v>72</v>
      </c>
      <c r="C2" s="3" t="n">
        <v>92.25</v>
      </c>
      <c r="D2" s="3" t="n">
        <v>1.28</v>
      </c>
      <c r="E2" s="3" t="n">
        <v>124.28</v>
      </c>
      <c r="F2" s="3" t="n">
        <v>143.25</v>
      </c>
      <c r="G2" s="3" t="n">
        <v>8.039999999999999</v>
      </c>
      <c r="H2" s="3" t="n">
        <v>9.619999999999999</v>
      </c>
      <c r="I2" s="3" t="n">
        <v>4.4</v>
      </c>
      <c r="J2" s="3" t="n">
        <v>-2.07</v>
      </c>
      <c r="K2" s="3" t="n">
        <v>-6.47</v>
      </c>
      <c r="L2" s="3" t="n">
        <v>-0.96</v>
      </c>
      <c r="M2" s="3" t="n">
        <v>-1.2</v>
      </c>
      <c r="N2" s="3" t="n">
        <v>22.95</v>
      </c>
      <c r="O2" s="3" t="n">
        <v>19.14</v>
      </c>
      <c r="P2" s="3" t="n">
        <v>25.12</v>
      </c>
      <c r="Q2" s="3" t="n">
        <v>3622.37</v>
      </c>
      <c r="R2" s="3" t="n">
        <v>-12.73</v>
      </c>
      <c r="S2" s="3" t="n">
        <v>-26.36</v>
      </c>
      <c r="T2" s="3" t="n">
        <v>-32.58</v>
      </c>
      <c r="U2" s="3" t="n">
        <v>-40.92</v>
      </c>
      <c r="V2" s="3" t="n">
        <v>50.54</v>
      </c>
      <c r="W2" s="3" t="n">
        <v>34.99</v>
      </c>
      <c r="X2" s="3" t="n">
        <v>3.88</v>
      </c>
      <c r="Y2" s="3" t="n">
        <v>71.45999999999999</v>
      </c>
      <c r="Z2" s="3" t="n">
        <v>1.13</v>
      </c>
      <c r="AA2" s="3" t="n">
        <v>-14.11</v>
      </c>
      <c r="AB2" s="3" t="n">
        <v>0.98</v>
      </c>
      <c r="AC2" s="3" t="n">
        <v/>
      </c>
      <c r="AD2" s="3" t="n">
        <v>4.43</v>
      </c>
      <c r="AE2" s="3" t="n">
        <v>65.43000000000001</v>
      </c>
    </row>
    <row r="3">
      <c r="A3" s="4" t="inlineStr">
        <is>
          <t>2025-08-05 09:48:43</t>
        </is>
      </c>
      <c r="B3" s="5" t="n">
        <v>73.65000000000001</v>
      </c>
      <c r="C3" s="5" t="n">
        <v>96</v>
      </c>
      <c r="D3" s="5" t="n">
        <v>1.3</v>
      </c>
      <c r="E3" s="5" t="n">
        <v>132.04</v>
      </c>
      <c r="F3" s="5" t="n">
        <v>143.5</v>
      </c>
      <c r="G3" s="5" t="n">
        <v>7.2</v>
      </c>
      <c r="H3" s="5" t="n">
        <v>-11.61</v>
      </c>
      <c r="I3" s="5" t="n">
        <v>1.2</v>
      </c>
      <c r="J3" s="5" t="n">
        <v>3.6</v>
      </c>
      <c r="K3" s="5" t="n">
        <v>2.4</v>
      </c>
      <c r="L3" s="5" t="n">
        <v>3.13</v>
      </c>
      <c r="M3" s="5" t="n">
        <v>-2</v>
      </c>
      <c r="N3" s="5" t="n">
        <v>27.24</v>
      </c>
      <c r="O3" s="5" t="n">
        <v>22.32</v>
      </c>
      <c r="P3" s="5" t="n">
        <v>29.49</v>
      </c>
      <c r="Q3" s="5" t="n">
        <v>4703.24</v>
      </c>
      <c r="R3" s="5" t="n">
        <v>4.12</v>
      </c>
      <c r="S3" s="5" t="n">
        <v>11.24</v>
      </c>
      <c r="T3" s="5" t="n">
        <v>32.87</v>
      </c>
      <c r="U3" s="5" t="n">
        <v>36.39</v>
      </c>
      <c r="V3" s="5" t="n">
        <v>71.67</v>
      </c>
      <c r="W3" s="5" t="n">
        <v>43.68</v>
      </c>
      <c r="X3" s="5" t="n">
        <v>0.07000000000000001</v>
      </c>
      <c r="Y3" s="5" t="n">
        <v>65.25</v>
      </c>
      <c r="Z3" s="5" t="n">
        <v>1.11</v>
      </c>
      <c r="AA3" s="5" t="n">
        <v>4.47</v>
      </c>
      <c r="AB3" s="5" t="n">
        <v>1.73</v>
      </c>
      <c r="AC3" s="5" t="n">
        <v/>
      </c>
      <c r="AD3" s="5" t="n">
        <v>5.18</v>
      </c>
      <c r="AE3" s="5" t="n">
        <v>65.98</v>
      </c>
    </row>
    <row r="4">
      <c r="A4" s="2" t="inlineStr">
        <is>
          <t>2025-08-05 09:48:58</t>
        </is>
      </c>
      <c r="B4" s="3" t="n">
        <v>72.88</v>
      </c>
      <c r="C4" s="3" t="n">
        <v>99</v>
      </c>
      <c r="D4" s="3" t="n">
        <v>1.36</v>
      </c>
      <c r="E4" s="3" t="n">
        <v>137.98</v>
      </c>
      <c r="F4" s="3" t="n">
        <v>152.52</v>
      </c>
      <c r="G4" s="3" t="n">
        <v>5.68</v>
      </c>
      <c r="H4" s="3" t="n">
        <v>-11.36</v>
      </c>
      <c r="I4" s="3" t="n">
        <v>2.8</v>
      </c>
      <c r="J4" s="3" t="n">
        <v>-2.48</v>
      </c>
      <c r="K4" s="3" t="n">
        <v>-5.28</v>
      </c>
      <c r="L4" s="3" t="n">
        <v>-1.52</v>
      </c>
      <c r="M4" s="3" t="n">
        <v>-1.8</v>
      </c>
      <c r="N4" s="3" t="n">
        <v>23.94</v>
      </c>
      <c r="O4" s="3" t="n">
        <v>19.66</v>
      </c>
      <c r="P4" s="3" t="n">
        <v>26.38</v>
      </c>
      <c r="Q4" s="3" t="n">
        <v>4298.15</v>
      </c>
      <c r="R4" s="3" t="n">
        <v>-9.75</v>
      </c>
      <c r="S4" s="3" t="n">
        <v>-26.94</v>
      </c>
      <c r="T4" s="3" t="n">
        <v>-37.87</v>
      </c>
      <c r="U4" s="3" t="n">
        <v>-44.05</v>
      </c>
      <c r="V4" s="3" t="n">
        <v>64.7</v>
      </c>
      <c r="W4" s="3" t="n">
        <v>39.96</v>
      </c>
      <c r="X4" s="3" t="n">
        <v>1.91</v>
      </c>
      <c r="Y4" s="3" t="n">
        <v>67.09999999999999</v>
      </c>
      <c r="Z4" s="3" t="n">
        <v>1.2</v>
      </c>
      <c r="AA4" s="3" t="n">
        <v>-10.85</v>
      </c>
      <c r="AB4" s="3" t="n">
        <v>1.61</v>
      </c>
      <c r="AC4" s="3" t="n">
        <v/>
      </c>
      <c r="AD4" s="3" t="n">
        <v>5.04</v>
      </c>
      <c r="AE4" s="3" t="n">
        <v>66.12</v>
      </c>
    </row>
    <row r="5">
      <c r="A5" s="4" t="inlineStr">
        <is>
          <t>2025-08-05 09:49:17</t>
        </is>
      </c>
      <c r="B5" s="5" t="n">
        <v>73.34999999999999</v>
      </c>
      <c r="C5" s="5" t="n">
        <v>97.06999999999999</v>
      </c>
      <c r="D5" s="5" t="n">
        <v>1.32</v>
      </c>
      <c r="E5" s="5" t="n">
        <v>134.51</v>
      </c>
      <c r="F5" s="5" t="n">
        <v>148.21</v>
      </c>
      <c r="G5" s="5" t="n">
        <v>7.2</v>
      </c>
      <c r="H5" s="5" t="n">
        <v>-16.49</v>
      </c>
      <c r="I5" s="5" t="n">
        <v>2.6</v>
      </c>
      <c r="J5" s="5" t="n">
        <v>-0.63</v>
      </c>
      <c r="K5" s="5" t="n">
        <v>-3.23</v>
      </c>
      <c r="L5" s="5" t="n">
        <v>-0.01</v>
      </c>
      <c r="M5" s="5" t="n">
        <v>-1.4</v>
      </c>
      <c r="N5" s="5" t="n">
        <v>25.02</v>
      </c>
      <c r="O5" s="5" t="n">
        <v>20.5</v>
      </c>
      <c r="P5" s="5" t="n">
        <v>26.7</v>
      </c>
      <c r="Q5" s="5" t="n">
        <v>4389</v>
      </c>
      <c r="R5" s="5" t="n">
        <v>-5.93</v>
      </c>
      <c r="S5" s="5" t="n">
        <v>-15.93</v>
      </c>
      <c r="T5" s="5" t="n">
        <v>-16.03</v>
      </c>
      <c r="U5" s="5" t="n">
        <v>-18.87</v>
      </c>
      <c r="V5" s="5" t="n">
        <v>65.62</v>
      </c>
      <c r="W5" s="5" t="n">
        <v>40.88</v>
      </c>
      <c r="X5" s="5" t="n">
        <v>1.96</v>
      </c>
      <c r="Y5" s="5" t="n">
        <v>66.73999999999999</v>
      </c>
      <c r="Z5" s="5" t="n">
        <v>1.18</v>
      </c>
      <c r="AA5" s="5" t="n">
        <v>-6.63</v>
      </c>
      <c r="AB5" s="5" t="n">
        <v>1.22</v>
      </c>
      <c r="AC5" s="5" t="n">
        <v/>
      </c>
      <c r="AD5" s="5" t="n">
        <v>5.04</v>
      </c>
      <c r="AE5" s="5" t="n">
        <v>65.03</v>
      </c>
    </row>
    <row r="6">
      <c r="A6" s="2" t="inlineStr">
        <is>
          <t>2025-08-05 09:49:34</t>
        </is>
      </c>
      <c r="B6" s="3" t="n">
        <v>74.45</v>
      </c>
      <c r="C6" s="3" t="n">
        <v>99.95999999999999</v>
      </c>
      <c r="D6" s="3" t="n">
        <v>1.34</v>
      </c>
      <c r="E6" s="3" t="n">
        <v>138.34</v>
      </c>
      <c r="F6" s="3" t="n">
        <v>152.16</v>
      </c>
      <c r="G6" s="3" t="n">
        <v>3.35</v>
      </c>
      <c r="H6" s="3" t="n">
        <v>-15.48</v>
      </c>
      <c r="I6" s="3" t="n">
        <v>2.8</v>
      </c>
      <c r="J6" s="3" t="n">
        <v>-1.61</v>
      </c>
      <c r="K6" s="3" t="n">
        <v>-4.41</v>
      </c>
      <c r="L6" s="3" t="n">
        <v>-0.76</v>
      </c>
      <c r="M6" s="3" t="n">
        <v>-2.8</v>
      </c>
      <c r="N6" s="3" t="n">
        <v>23.42</v>
      </c>
      <c r="O6" s="3" t="n">
        <v>18.8</v>
      </c>
      <c r="P6" s="3" t="n">
        <v>26.68</v>
      </c>
      <c r="Q6" s="3" t="n">
        <v>4644.61</v>
      </c>
      <c r="R6" s="3" t="n">
        <v>-8.02</v>
      </c>
      <c r="S6" s="3" t="n">
        <v>-22.93</v>
      </c>
      <c r="T6" s="3" t="n">
        <v>-28.4</v>
      </c>
      <c r="U6" s="3" t="n">
        <v>-33.01</v>
      </c>
      <c r="V6" s="3" t="n">
        <v>63.79</v>
      </c>
      <c r="W6" s="3" t="n">
        <v>39.9</v>
      </c>
      <c r="X6" s="3" t="n">
        <v>1.38</v>
      </c>
      <c r="Y6" s="3" t="n">
        <v>64.3</v>
      </c>
      <c r="Z6" s="3" t="n">
        <v>1.2</v>
      </c>
      <c r="AA6" s="3" t="n">
        <v>-9.1</v>
      </c>
      <c r="AB6" s="3" t="n">
        <v>2.6</v>
      </c>
      <c r="AC6" s="3" t="n">
        <v/>
      </c>
      <c r="AD6" s="3" t="n">
        <v>5.05</v>
      </c>
      <c r="AE6" s="3" t="n">
        <v>65.78</v>
      </c>
    </row>
    <row r="7">
      <c r="A7" s="4" t="inlineStr">
        <is>
          <t>2025-08-05 09:49:54</t>
        </is>
      </c>
      <c r="B7" s="5" t="n">
        <v>73.41</v>
      </c>
      <c r="C7" s="5" t="n">
        <v>101.78</v>
      </c>
      <c r="D7" s="5" t="n">
        <v>1.39</v>
      </c>
      <c r="E7" s="5" t="n">
        <v>142.34</v>
      </c>
      <c r="F7" s="5" t="n">
        <v>155.63</v>
      </c>
      <c r="G7" s="5" t="n">
        <v>7.33</v>
      </c>
      <c r="H7" s="5" t="n">
        <v>-1.72</v>
      </c>
      <c r="I7" s="5" t="n">
        <v>3.2</v>
      </c>
      <c r="J7" s="5" t="n">
        <v>-2.44</v>
      </c>
      <c r="K7" s="5" t="n">
        <v>-5.64</v>
      </c>
      <c r="L7" s="5" t="n">
        <v>-1.4</v>
      </c>
      <c r="M7" s="5" t="n">
        <v>-2</v>
      </c>
      <c r="N7" s="5" t="n">
        <v>23.86</v>
      </c>
      <c r="O7" s="5" t="n">
        <v>19.41</v>
      </c>
      <c r="P7" s="5" t="n">
        <v>26.49</v>
      </c>
      <c r="Q7" s="5" t="n">
        <v>4603.26</v>
      </c>
      <c r="R7" s="5" t="n">
        <v>-10.34</v>
      </c>
      <c r="S7" s="5" t="n">
        <v>-31.25</v>
      </c>
      <c r="T7" s="5" t="n">
        <v>-41.62</v>
      </c>
      <c r="U7" s="5" t="n">
        <v>-47.71</v>
      </c>
      <c r="V7" s="5" t="n">
        <v>68.84</v>
      </c>
      <c r="W7" s="5" t="n">
        <v>41.23</v>
      </c>
      <c r="X7" s="5" t="n">
        <v>2.05</v>
      </c>
      <c r="Y7" s="5" t="n">
        <v>63.93</v>
      </c>
      <c r="Z7" s="5" t="n">
        <v>1.21</v>
      </c>
      <c r="AA7" s="5" t="n">
        <v>-11.45</v>
      </c>
      <c r="AB7" s="5" t="n">
        <v>1.85</v>
      </c>
      <c r="AC7" s="5" t="n">
        <v/>
      </c>
      <c r="AD7" s="5" t="n">
        <v>5.21</v>
      </c>
      <c r="AE7" s="5" t="n">
        <v>65.45</v>
      </c>
    </row>
    <row r="8">
      <c r="A8" s="2" t="inlineStr">
        <is>
          <t>2025-08-05 09:50:36</t>
        </is>
      </c>
      <c r="B8" s="3" t="n">
        <v>73.73999999999999</v>
      </c>
      <c r="C8" s="3" t="n">
        <v>102.41</v>
      </c>
      <c r="D8" s="3" t="n">
        <v>1.39</v>
      </c>
      <c r="E8" s="3" t="n">
        <v>143.9</v>
      </c>
      <c r="F8" s="3" t="n">
        <v>155.71</v>
      </c>
      <c r="G8" s="3" t="n">
        <v>6.79</v>
      </c>
      <c r="H8" s="3" t="n">
        <v>-1.11</v>
      </c>
      <c r="I8" s="3" t="n">
        <v>2.8</v>
      </c>
      <c r="J8" s="3" t="n">
        <v>0.38</v>
      </c>
      <c r="K8" s="3" t="n">
        <v>-2.42</v>
      </c>
      <c r="L8" s="3" t="n">
        <v>0.84</v>
      </c>
      <c r="M8" s="3" t="n">
        <v>-2.2</v>
      </c>
      <c r="N8" s="3" t="n">
        <v>25.02</v>
      </c>
      <c r="O8" s="3" t="n">
        <v>20.37</v>
      </c>
      <c r="P8" s="3" t="n">
        <v>27.47</v>
      </c>
      <c r="Q8" s="3" t="n">
        <v>4739</v>
      </c>
      <c r="R8" s="3" t="n">
        <v>-4.32</v>
      </c>
      <c r="S8" s="3" t="n">
        <v>-13.73</v>
      </c>
      <c r="T8" s="3" t="n">
        <v>-7.41</v>
      </c>
      <c r="U8" s="3" t="n">
        <v>-8.81</v>
      </c>
      <c r="V8" s="3" t="n">
        <v>75.18000000000001</v>
      </c>
      <c r="W8" s="3" t="n">
        <v>43.45</v>
      </c>
      <c r="X8" s="3" t="n">
        <v>1.69</v>
      </c>
      <c r="Y8" s="3" t="n">
        <v>65.73999999999999</v>
      </c>
      <c r="Z8" s="3" t="n">
        <v>1.13</v>
      </c>
      <c r="AA8" s="3" t="n">
        <v>-4.76</v>
      </c>
      <c r="AB8" s="3" t="n">
        <v>1.93</v>
      </c>
      <c r="AC8" s="3" t="n">
        <v/>
      </c>
      <c r="AD8" s="3" t="n">
        <v>5.4</v>
      </c>
      <c r="AE8" s="3" t="n">
        <v>66.69</v>
      </c>
    </row>
    <row r="9">
      <c r="A9" s="4" t="inlineStr">
        <is>
          <t>2025-08-05 09:50:57</t>
        </is>
      </c>
      <c r="B9" s="5" t="n">
        <v>74.39</v>
      </c>
      <c r="C9" s="5" t="n">
        <v>97.41</v>
      </c>
      <c r="D9" s="5" t="n">
        <v>1.31</v>
      </c>
      <c r="E9" s="5" t="n">
        <v>137.1</v>
      </c>
      <c r="F9" s="5" t="n">
        <v>153.37</v>
      </c>
      <c r="G9" s="5" t="n">
        <v>6.77</v>
      </c>
      <c r="H9" s="5" t="n">
        <v>-10.83</v>
      </c>
      <c r="I9" s="5" t="n">
        <v>6.2</v>
      </c>
      <c r="J9" s="5" t="n">
        <v>0.75</v>
      </c>
      <c r="K9" s="5" t="n">
        <v>-5.45</v>
      </c>
      <c r="L9" s="5" t="n">
        <v>1.67</v>
      </c>
      <c r="M9" s="5" t="n">
        <v>-0.2</v>
      </c>
      <c r="N9" s="5" t="n">
        <v>24.25</v>
      </c>
      <c r="O9" s="5" t="n">
        <v>20.5</v>
      </c>
      <c r="P9" s="5" t="n">
        <v>25.13</v>
      </c>
      <c r="Q9" s="5" t="n">
        <v>3723.08</v>
      </c>
      <c r="R9" s="5" t="n">
        <v>-10.66</v>
      </c>
      <c r="S9" s="5" t="n">
        <v>-27.39</v>
      </c>
      <c r="T9" s="5" t="n">
        <v>-15.42</v>
      </c>
      <c r="U9" s="5" t="n">
        <v>-19.77</v>
      </c>
      <c r="V9" s="5" t="n">
        <v>64.06999999999999</v>
      </c>
      <c r="W9" s="5" t="n">
        <v>39.27</v>
      </c>
      <c r="X9" s="5" t="n">
        <v>6.06</v>
      </c>
      <c r="Y9" s="5" t="n">
        <v>71.81999999999999</v>
      </c>
      <c r="Z9" s="5" t="n">
        <v>1.11</v>
      </c>
      <c r="AA9" s="5" t="n">
        <v>-11.81</v>
      </c>
      <c r="AB9" s="5" t="n">
        <v>0.12</v>
      </c>
      <c r="AC9" s="5" t="n">
        <v/>
      </c>
      <c r="AD9" s="5" t="n">
        <v>4.96</v>
      </c>
      <c r="AE9" s="5" t="n">
        <v>66.73</v>
      </c>
    </row>
    <row r="10">
      <c r="A10" s="2" t="inlineStr">
        <is>
          <t>2025-08-05 09:51:16</t>
        </is>
      </c>
      <c r="B10" s="3" t="n">
        <v>74.73</v>
      </c>
      <c r="C10" s="3" t="n">
        <v>99.98999999999999</v>
      </c>
      <c r="D10" s="3" t="n">
        <v>1.34</v>
      </c>
      <c r="E10" s="3" t="n">
        <v>141.15</v>
      </c>
      <c r="F10" s="3" t="n">
        <v>157.13</v>
      </c>
      <c r="G10" s="3" t="n">
        <v>10.29</v>
      </c>
      <c r="H10" s="3" t="n">
        <v>-0.84</v>
      </c>
      <c r="I10" s="3" t="n">
        <v>5.4</v>
      </c>
      <c r="J10" s="3" t="n">
        <v>-1.05</v>
      </c>
      <c r="K10" s="3" t="n">
        <v>-6.45</v>
      </c>
      <c r="L10" s="3" t="n">
        <v>0.04</v>
      </c>
      <c r="M10" s="3" t="n">
        <v>-0.6</v>
      </c>
      <c r="N10" s="3" t="n">
        <v>23.53</v>
      </c>
      <c r="O10" s="3" t="n">
        <v>19.73</v>
      </c>
      <c r="P10" s="3" t="n">
        <v>25.01</v>
      </c>
      <c r="Q10" s="3" t="n">
        <v>3897.83</v>
      </c>
      <c r="R10" s="3" t="n">
        <v>-12.63</v>
      </c>
      <c r="S10" s="3" t="n">
        <v>-34.75</v>
      </c>
      <c r="T10" s="3" t="n">
        <v>-34.43</v>
      </c>
      <c r="U10" s="3" t="n">
        <v>-41.41</v>
      </c>
      <c r="V10" s="3" t="n">
        <v>65.17</v>
      </c>
      <c r="W10" s="3" t="n">
        <v>39.31</v>
      </c>
      <c r="X10" s="3" t="n">
        <v>5.03</v>
      </c>
      <c r="Y10" s="3" t="n">
        <v>70.47</v>
      </c>
      <c r="Z10" s="3" t="n">
        <v>1.14</v>
      </c>
      <c r="AA10" s="3" t="n">
        <v>-13.95</v>
      </c>
      <c r="AB10" s="3" t="n">
        <v>0.43</v>
      </c>
      <c r="AC10" s="3" t="n">
        <v/>
      </c>
      <c r="AD10" s="3" t="n">
        <v>5.04</v>
      </c>
      <c r="AE10" s="3" t="n">
        <v>66.2</v>
      </c>
    </row>
    <row r="11">
      <c r="A11" s="4" t="inlineStr">
        <is>
          <t>2025-08-05 09:51:36</t>
        </is>
      </c>
      <c r="B11" s="5" t="n">
        <v>74.25</v>
      </c>
      <c r="C11" s="5" t="n">
        <v>95.7</v>
      </c>
      <c r="D11" s="5" t="n">
        <v>1.29</v>
      </c>
      <c r="E11" s="5" t="n">
        <v>133.48</v>
      </c>
      <c r="F11" s="5" t="n">
        <v>148.7</v>
      </c>
      <c r="G11" s="5" t="n">
        <v>9.58</v>
      </c>
      <c r="H11" s="5" t="n">
        <v>-8.77</v>
      </c>
      <c r="I11" s="5" t="n">
        <v>1.8</v>
      </c>
      <c r="J11" s="5" t="n">
        <v>1.44</v>
      </c>
      <c r="K11" s="5" t="n">
        <v>-0.36</v>
      </c>
      <c r="L11" s="5" t="n">
        <v>1.52</v>
      </c>
      <c r="M11" s="5" t="n">
        <v>-2.6</v>
      </c>
      <c r="N11" s="5" t="n">
        <v>24.91</v>
      </c>
      <c r="O11" s="5" t="n">
        <v>20.77</v>
      </c>
      <c r="P11" s="5" t="n">
        <v>27.58</v>
      </c>
      <c r="Q11" s="5" t="n">
        <v>3938.86</v>
      </c>
      <c r="R11" s="5" t="n">
        <v>-0.79</v>
      </c>
      <c r="S11" s="5" t="n">
        <v>-2</v>
      </c>
      <c r="T11" s="5" t="n">
        <v>8.6</v>
      </c>
      <c r="U11" s="5" t="n">
        <v>9.41</v>
      </c>
      <c r="V11" s="5" t="n">
        <v>63.73</v>
      </c>
      <c r="W11" s="5" t="n">
        <v>39.92</v>
      </c>
      <c r="X11" s="5" t="n">
        <v>0.93</v>
      </c>
      <c r="Y11" s="5" t="n">
        <v>71.18000000000001</v>
      </c>
      <c r="Z11" s="5" t="n">
        <v>1.1</v>
      </c>
      <c r="AA11" s="5" t="n">
        <v>-0.88</v>
      </c>
      <c r="AB11" s="5" t="n">
        <v>2.05</v>
      </c>
      <c r="AC11" s="5" t="n">
        <v/>
      </c>
      <c r="AD11" s="5" t="n">
        <v>4.94</v>
      </c>
      <c r="AE11" s="5" t="n">
        <v>66.09</v>
      </c>
    </row>
    <row r="12">
      <c r="A12" s="2" t="inlineStr">
        <is>
          <t>2025-08-05 09:51:54</t>
        </is>
      </c>
      <c r="B12" s="3" t="n">
        <v>73.95</v>
      </c>
      <c r="C12" s="3" t="n">
        <v>100.28</v>
      </c>
      <c r="D12" s="3" t="n">
        <v>1.36</v>
      </c>
      <c r="E12" s="3" t="n">
        <v>140.48</v>
      </c>
      <c r="F12" s="3" t="n">
        <v>152.91</v>
      </c>
      <c r="G12" s="3" t="n">
        <v>4.11</v>
      </c>
      <c r="H12" s="3" t="n">
        <v>-10.7</v>
      </c>
      <c r="I12" s="3" t="n">
        <v>2</v>
      </c>
      <c r="J12" s="3" t="n">
        <v>0.62</v>
      </c>
      <c r="K12" s="3" t="n">
        <v>-1.38</v>
      </c>
      <c r="L12" s="3" t="n">
        <v>0.87</v>
      </c>
      <c r="M12" s="3" t="n">
        <v>-2.4</v>
      </c>
      <c r="N12" s="3" t="n">
        <v>25.2</v>
      </c>
      <c r="O12" s="3" t="n">
        <v>20.6</v>
      </c>
      <c r="P12" s="3" t="n">
        <v>27.64</v>
      </c>
      <c r="Q12" s="3" t="n">
        <v>4583.22</v>
      </c>
      <c r="R12" s="3" t="n">
        <v>-2.35</v>
      </c>
      <c r="S12" s="3" t="n">
        <v>-7.02</v>
      </c>
      <c r="T12" s="3" t="n">
        <v>-0.62</v>
      </c>
      <c r="U12" s="3" t="n">
        <v>-1.12</v>
      </c>
      <c r="V12" s="3" t="n">
        <v>72.19</v>
      </c>
      <c r="W12" s="3" t="n">
        <v>42.72</v>
      </c>
      <c r="X12" s="3" t="n">
        <v>0.79</v>
      </c>
      <c r="Y12" s="3" t="n">
        <v>65</v>
      </c>
      <c r="Z12" s="3" t="n">
        <v>1.16</v>
      </c>
      <c r="AA12" s="3" t="n">
        <v>-2.62</v>
      </c>
      <c r="AB12" s="3" t="n">
        <v>2.01</v>
      </c>
      <c r="AC12" s="3" t="n">
        <v/>
      </c>
      <c r="AD12" s="3" t="n">
        <v>5.28</v>
      </c>
      <c r="AE12" s="3" t="n">
        <v>65.5</v>
      </c>
    </row>
    <row r="13">
      <c r="A13" s="4" t="inlineStr">
        <is>
          <t>2025-08-05 09:52:13</t>
        </is>
      </c>
      <c r="B13" s="5" t="n">
        <v>74.36</v>
      </c>
      <c r="C13" s="5" t="n">
        <v>98.12</v>
      </c>
      <c r="D13" s="5" t="n">
        <v>1.32</v>
      </c>
      <c r="E13" s="5" t="n">
        <v>135.48</v>
      </c>
      <c r="F13" s="5" t="n">
        <v>146.93</v>
      </c>
      <c r="G13" s="5" t="n">
        <v>4.31</v>
      </c>
      <c r="H13" s="5" t="n">
        <v>-14.8</v>
      </c>
      <c r="I13" s="5" t="n">
        <v>3.8</v>
      </c>
      <c r="J13" s="5" t="n">
        <v>2.56</v>
      </c>
      <c r="K13" s="5" t="n">
        <v>-1.24</v>
      </c>
      <c r="L13" s="5" t="n">
        <v>2.8</v>
      </c>
      <c r="M13" s="5" t="n">
        <v>-1.4</v>
      </c>
      <c r="N13" s="5" t="n">
        <v>26.24</v>
      </c>
      <c r="O13" s="5" t="n">
        <v>21.28</v>
      </c>
      <c r="P13" s="5" t="n">
        <v>27.71</v>
      </c>
      <c r="Q13" s="5" t="n">
        <v>4841</v>
      </c>
      <c r="R13" s="5" t="n">
        <v>-2.05</v>
      </c>
      <c r="S13" s="5" t="n">
        <v>-5.91</v>
      </c>
      <c r="T13" s="5" t="n">
        <v>13.96</v>
      </c>
      <c r="U13" s="5" t="n">
        <v>14.79</v>
      </c>
      <c r="V13" s="5" t="n">
        <v>71.68000000000001</v>
      </c>
      <c r="W13" s="5" t="n">
        <v>43.36</v>
      </c>
      <c r="X13" s="5" t="n">
        <v>3.04</v>
      </c>
      <c r="Y13" s="5" t="n">
        <v>64.75</v>
      </c>
      <c r="Z13" s="5" t="n">
        <v>1.13</v>
      </c>
      <c r="AA13" s="5" t="n">
        <v>-2.36</v>
      </c>
      <c r="AB13" s="5" t="n">
        <v>1.14</v>
      </c>
      <c r="AC13" s="5" t="n">
        <v/>
      </c>
      <c r="AD13" s="5" t="n">
        <v>5.23</v>
      </c>
      <c r="AE13" s="5" t="n">
        <v>65.48999999999999</v>
      </c>
    </row>
    <row r="15">
      <c r="A15" s="6" t="inlineStr">
        <is>
          <t>Pos Av</t>
        </is>
      </c>
      <c r="B15" s="7">
        <f>IF(COUNTIF(B2:B13,"&gt;0"),AVERAGEIF(B2:B13,"&gt;0"),"—")</f>
        <v/>
      </c>
      <c r="C15" s="7">
        <f>IF(COUNTIF(C2:C13,"&gt;0"),AVERAGEIF(C2:C13,"&gt;0"),"—")</f>
        <v/>
      </c>
      <c r="D15" s="7">
        <f>IF(COUNTIF(D2:D13,"&gt;0"),AVERAGEIF(D2:D13,"&gt;0"),"—")</f>
        <v/>
      </c>
      <c r="E15" s="7">
        <f>IF(COUNTIF(E2:E13,"&gt;0"),AVERAGEIF(E2:E13,"&gt;0"),"—")</f>
        <v/>
      </c>
      <c r="F15" s="7">
        <f>IF(COUNTIF(F2:F13,"&gt;0"),AVERAGEIF(F2:F13,"&gt;0"),"—")</f>
        <v/>
      </c>
      <c r="G15" s="7">
        <f>IF(COUNTIF(G2:G13,"&gt;0"),AVERAGEIF(G2:G13,"&gt;0"),"—")</f>
        <v/>
      </c>
      <c r="H15" s="7">
        <f>IF(COUNTIF(H2:H13,"&gt;0"),AVERAGEIF(H2:H13,"&gt;0"),"—")</f>
        <v/>
      </c>
      <c r="I15" s="7">
        <f>IF(COUNTIF(I2:I13,"&gt;0"),AVERAGEIF(I2:I13,"&gt;0"),"—")</f>
        <v/>
      </c>
      <c r="J15" s="7">
        <f>IF(COUNTIF(J2:J13,"&gt;0"),AVERAGEIF(J2:J13,"&gt;0"),"—")</f>
        <v/>
      </c>
      <c r="K15" s="7">
        <f>IF(COUNTIF(K2:K13,"&gt;0"),AVERAGEIF(K2:K13,"&gt;0"),"—")</f>
        <v/>
      </c>
      <c r="L15" s="7">
        <f>IF(COUNTIF(L2:L13,"&gt;0"),AVERAGEIF(L2:L13,"&gt;0"),"—")</f>
        <v/>
      </c>
      <c r="M15" s="7">
        <f>IF(COUNTIF(M2:M13,"&gt;0"),AVERAGEIF(M2:M13,"&gt;0"),"—")</f>
        <v/>
      </c>
      <c r="N15" s="7">
        <f>IF(COUNTIF(N2:N13,"&gt;0"),AVERAGEIF(N2:N13,"&gt;0"),"—")</f>
        <v/>
      </c>
      <c r="O15" s="7">
        <f>IF(COUNTIF(O2:O13,"&gt;0"),AVERAGEIF(O2:O13,"&gt;0"),"—")</f>
        <v/>
      </c>
      <c r="P15" s="7">
        <f>IF(COUNTIF(P2:P13,"&gt;0"),AVERAGEIF(P2:P13,"&gt;0"),"—")</f>
        <v/>
      </c>
      <c r="Q15" s="7">
        <f>IF(COUNTIF(Q2:Q13,"&gt;0"),AVERAGEIF(Q2:Q13,"&gt;0"),"—")</f>
        <v/>
      </c>
      <c r="R15" s="7">
        <f>IF(COUNTIF(R2:R13,"&gt;0"),AVERAGEIF(R2:R13,"&gt;0"),"—")</f>
        <v/>
      </c>
      <c r="S15" s="7">
        <f>IF(COUNTIF(S2:S13,"&gt;0"),AVERAGEIF(S2:S13,"&gt;0"),"—")</f>
        <v/>
      </c>
      <c r="T15" s="7">
        <f>IF(COUNTIF(T2:T13,"&gt;0"),AVERAGEIF(T2:T13,"&gt;0"),"—")</f>
        <v/>
      </c>
      <c r="U15" s="7">
        <f>IF(COUNTIF(U2:U13,"&gt;0"),AVERAGEIF(U2:U13,"&gt;0"),"—")</f>
        <v/>
      </c>
      <c r="V15" s="7">
        <f>IF(COUNTIF(V2:V13,"&gt;0"),AVERAGEIF(V2:V13,"&gt;0"),"—")</f>
        <v/>
      </c>
      <c r="W15" s="7">
        <f>IF(COUNTIF(W2:W13,"&gt;0"),AVERAGEIF(W2:W13,"&gt;0"),"—")</f>
        <v/>
      </c>
      <c r="X15" s="7">
        <f>IF(COUNTIF(X2:X13,"&gt;0"),AVERAGEIF(X2:X13,"&gt;0"),"—")</f>
        <v/>
      </c>
      <c r="Y15" s="7">
        <f>IF(COUNTIF(Y2:Y13,"&gt;0"),AVERAGEIF(Y2:Y13,"&gt;0"),"—")</f>
        <v/>
      </c>
      <c r="Z15" s="7">
        <f>IF(COUNTIF(Z2:Z13,"&gt;0"),AVERAGEIF(Z2:Z13,"&gt;0"),"—")</f>
        <v/>
      </c>
      <c r="AA15" s="7">
        <f>IF(COUNTIF(AA2:AA13,"&gt;0"),AVERAGEIF(AA2:AA13,"&gt;0"),"—")</f>
        <v/>
      </c>
      <c r="AB15" s="7">
        <f>IF(COUNTIF(AB2:AB13,"&gt;0"),AVERAGEIF(AB2:AB13,"&gt;0"),"—")</f>
        <v/>
      </c>
      <c r="AC15" s="7">
        <f>IF(COUNTIF(AC2:AC13,"&gt;0"),AVERAGEIF(AC2:AC13,"&gt;0"),"—")</f>
        <v/>
      </c>
      <c r="AD15" s="7">
        <f>IF(COUNTIF(AD2:AD13,"&gt;0"),AVERAGEIF(AD2:AD13,"&gt;0"),"—")</f>
        <v/>
      </c>
      <c r="AE15" s="7">
        <f>IF(COUNTIF(AE2:AE13,"&gt;0"),AVERAGEIF(AE2:AE13,"&gt;0"),"—")</f>
        <v/>
      </c>
    </row>
    <row r="16">
      <c r="A16" s="6" t="inlineStr">
        <is>
          <t>Neg Av</t>
        </is>
      </c>
      <c r="B16" s="7">
        <f>IF(COUNTIF(B2:B13,"&lt;0"),AVERAGEIF(B2:B13,"&lt;0"),"—")</f>
        <v/>
      </c>
      <c r="C16" s="7">
        <f>IF(COUNTIF(C2:C13,"&lt;0"),AVERAGEIF(C2:C13,"&lt;0"),"—")</f>
        <v/>
      </c>
      <c r="D16" s="7">
        <f>IF(COUNTIF(D2:D13,"&lt;0"),AVERAGEIF(D2:D13,"&lt;0"),"—")</f>
        <v/>
      </c>
      <c r="E16" s="7">
        <f>IF(COUNTIF(E2:E13,"&lt;0"),AVERAGEIF(E2:E13,"&lt;0"),"—")</f>
        <v/>
      </c>
      <c r="F16" s="7">
        <f>IF(COUNTIF(F2:F13,"&lt;0"),AVERAGEIF(F2:F13,"&lt;0"),"—")</f>
        <v/>
      </c>
      <c r="G16" s="7">
        <f>IF(COUNTIF(G2:G13,"&lt;0"),AVERAGEIF(G2:G13,"&lt;0"),"—")</f>
        <v/>
      </c>
      <c r="H16" s="7">
        <f>IF(COUNTIF(H2:H13,"&lt;0"),AVERAGEIF(H2:H13,"&lt;0"),"—")</f>
        <v/>
      </c>
      <c r="I16" s="7">
        <f>IF(COUNTIF(I2:I13,"&lt;0"),AVERAGEIF(I2:I13,"&lt;0"),"—")</f>
        <v/>
      </c>
      <c r="J16" s="7">
        <f>IF(COUNTIF(J2:J13,"&lt;0"),AVERAGEIF(J2:J13,"&lt;0"),"—")</f>
        <v/>
      </c>
      <c r="K16" s="7">
        <f>IF(COUNTIF(K2:K13,"&lt;0"),AVERAGEIF(K2:K13,"&lt;0"),"—")</f>
        <v/>
      </c>
      <c r="L16" s="7">
        <f>IF(COUNTIF(L2:L13,"&lt;0"),AVERAGEIF(L2:L13,"&lt;0"),"—")</f>
        <v/>
      </c>
      <c r="M16" s="7">
        <f>IF(COUNTIF(M2:M13,"&lt;0"),AVERAGEIF(M2:M13,"&lt;0"),"—")</f>
        <v/>
      </c>
      <c r="N16" s="7">
        <f>IF(COUNTIF(N2:N13,"&lt;0"),AVERAGEIF(N2:N13,"&lt;0"),"—")</f>
        <v/>
      </c>
      <c r="O16" s="7">
        <f>IF(COUNTIF(O2:O13,"&lt;0"),AVERAGEIF(O2:O13,"&lt;0"),"—")</f>
        <v/>
      </c>
      <c r="P16" s="7">
        <f>IF(COUNTIF(P2:P13,"&lt;0"),AVERAGEIF(P2:P13,"&lt;0"),"—")</f>
        <v/>
      </c>
      <c r="Q16" s="7">
        <f>IF(COUNTIF(Q2:Q13,"&lt;0"),AVERAGEIF(Q2:Q13,"&lt;0"),"—")</f>
        <v/>
      </c>
      <c r="R16" s="7">
        <f>IF(COUNTIF(R2:R13,"&lt;0"),AVERAGEIF(R2:R13,"&lt;0"),"—")</f>
        <v/>
      </c>
      <c r="S16" s="7">
        <f>IF(COUNTIF(S2:S13,"&lt;0"),AVERAGEIF(S2:S13,"&lt;0"),"—")</f>
        <v/>
      </c>
      <c r="T16" s="7">
        <f>IF(COUNTIF(T2:T13,"&lt;0"),AVERAGEIF(T2:T13,"&lt;0"),"—")</f>
        <v/>
      </c>
      <c r="U16" s="7">
        <f>IF(COUNTIF(U2:U13,"&lt;0"),AVERAGEIF(U2:U13,"&lt;0"),"—")</f>
        <v/>
      </c>
      <c r="V16" s="7">
        <f>IF(COUNTIF(V2:V13,"&lt;0"),AVERAGEIF(V2:V13,"&lt;0"),"—")</f>
        <v/>
      </c>
      <c r="W16" s="7">
        <f>IF(COUNTIF(W2:W13,"&lt;0"),AVERAGEIF(W2:W13,"&lt;0"),"—")</f>
        <v/>
      </c>
      <c r="X16" s="7">
        <f>IF(COUNTIF(X2:X13,"&lt;0"),AVERAGEIF(X2:X13,"&lt;0"),"—")</f>
        <v/>
      </c>
      <c r="Y16" s="7">
        <f>IF(COUNTIF(Y2:Y13,"&lt;0"),AVERAGEIF(Y2:Y13,"&lt;0"),"—")</f>
        <v/>
      </c>
      <c r="Z16" s="7">
        <f>IF(COUNTIF(Z2:Z13,"&lt;0"),AVERAGEIF(Z2:Z13,"&lt;0"),"—")</f>
        <v/>
      </c>
      <c r="AA16" s="7">
        <f>IF(COUNTIF(AA2:AA13,"&lt;0"),AVERAGEIF(AA2:AA13,"&lt;0"),"—")</f>
        <v/>
      </c>
      <c r="AB16" s="7">
        <f>IF(COUNTIF(AB2:AB13,"&lt;0"),AVERAGEIF(AB2:AB13,"&lt;0"),"—")</f>
        <v/>
      </c>
      <c r="AC16" s="7">
        <f>IF(COUNTIF(AC2:AC13,"&lt;0"),AVERAGEIF(AC2:AC13,"&lt;0"),"—")</f>
        <v/>
      </c>
      <c r="AD16" s="7">
        <f>IF(COUNTIF(AD2:AD13,"&lt;0"),AVERAGEIF(AD2:AD13,"&lt;0"),"—")</f>
        <v/>
      </c>
      <c r="AE16" s="7">
        <f>IF(COUNTIF(AE2:AE13,"&lt;0"),AVERAGEIF(AE2:AE13,"&lt;0"),"—")</f>
        <v/>
      </c>
    </row>
    <row r="17">
      <c r="A17" s="6" t="inlineStr">
        <is>
          <t>1 Av</t>
        </is>
      </c>
      <c r="B17" s="7">
        <f>IF(COUNTA(B2:B13),AVERAGE(B2:B13),"—")</f>
        <v/>
      </c>
      <c r="C17" s="7">
        <f>IF(COUNTA(C2:C13),AVERAGE(C2:C13),"—")</f>
        <v/>
      </c>
      <c r="D17" s="7">
        <f>IF(COUNTA(D2:D13),AVERAGE(D2:D13),"—")</f>
        <v/>
      </c>
      <c r="E17" s="7">
        <f>IF(COUNTA(E2:E13),AVERAGE(E2:E13),"—")</f>
        <v/>
      </c>
      <c r="F17" s="7">
        <f>IF(COUNTA(F2:F13),AVERAGE(F2:F13),"—")</f>
        <v/>
      </c>
      <c r="G17" s="7">
        <f>IF(COUNTA(G2:G13),AVERAGE(G2:G13),"—")</f>
        <v/>
      </c>
      <c r="H17" s="7">
        <f>IF(COUNTA(H2:H13),AVERAGE(H2:H13),"—")</f>
        <v/>
      </c>
      <c r="I17" s="7">
        <f>IF(COUNTA(I2:I13),AVERAGE(I2:I13),"—")</f>
        <v/>
      </c>
      <c r="J17" s="7">
        <f>IF(COUNTA(J2:J13),AVERAGE(J2:J13),"—")</f>
        <v/>
      </c>
      <c r="K17" s="7">
        <f>IF(COUNTA(K2:K13),AVERAGE(K2:K13),"—")</f>
        <v/>
      </c>
      <c r="L17" s="7">
        <f>IF(COUNTA(L2:L13),AVERAGE(L2:L13),"—")</f>
        <v/>
      </c>
      <c r="M17" s="7">
        <f>IF(COUNTA(M2:M13),AVERAGE(M2:M13),"—")</f>
        <v/>
      </c>
      <c r="N17" s="7">
        <f>IF(COUNTA(N2:N13),AVERAGE(N2:N13),"—")</f>
        <v/>
      </c>
      <c r="O17" s="7">
        <f>IF(COUNTA(O2:O13),AVERAGE(O2:O13),"—")</f>
        <v/>
      </c>
      <c r="P17" s="7">
        <f>IF(COUNTA(P2:P13),AVERAGE(P2:P13),"—")</f>
        <v/>
      </c>
      <c r="Q17" s="7">
        <f>IF(COUNTA(Q2:Q13),AVERAGE(Q2:Q13),"—")</f>
        <v/>
      </c>
      <c r="R17" s="7">
        <f>IF(COUNTA(R2:R13),AVERAGE(R2:R13),"—")</f>
        <v/>
      </c>
      <c r="S17" s="7">
        <f>IF(COUNTA(S2:S13),AVERAGE(S2:S13),"—")</f>
        <v/>
      </c>
      <c r="T17" s="7">
        <f>IF(COUNTA(T2:T13),AVERAGE(T2:T13),"—")</f>
        <v/>
      </c>
      <c r="U17" s="7">
        <f>IF(COUNTA(U2:U13),AVERAGE(U2:U13),"—")</f>
        <v/>
      </c>
      <c r="V17" s="7">
        <f>IF(COUNTA(V2:V13),AVERAGE(V2:V13),"—")</f>
        <v/>
      </c>
      <c r="W17" s="7">
        <f>IF(COUNTA(W2:W13),AVERAGE(W2:W13),"—")</f>
        <v/>
      </c>
      <c r="X17" s="7">
        <f>IF(COUNTA(X2:X13),AVERAGE(X2:X13),"—")</f>
        <v/>
      </c>
      <c r="Y17" s="7">
        <f>IF(COUNTA(Y2:Y13),AVERAGE(Y2:Y13),"—")</f>
        <v/>
      </c>
      <c r="Z17" s="7">
        <f>IF(COUNTA(Z2:Z13),AVERAGE(Z2:Z13),"—")</f>
        <v/>
      </c>
      <c r="AA17" s="7">
        <f>IF(COUNTA(AA2:AA13),AVERAGE(AA2:AA13),"—")</f>
        <v/>
      </c>
      <c r="AB17" s="7">
        <f>IF(COUNTA(AB2:AB13),AVERAGE(AB2:AB13),"—")</f>
        <v/>
      </c>
      <c r="AC17" s="7">
        <f>IF(COUNTA(AC2:AC13),AVERAGE(AC2:AC13),"—")</f>
        <v/>
      </c>
      <c r="AD17" s="7">
        <f>IF(COUNTA(AD2:AD13),AVERAGE(AD2:AD13),"—")</f>
        <v/>
      </c>
      <c r="AE17" s="7">
        <f>IF(COUNTA(AE2:AE13),AVERAGE(AE2:AE13),"—")</f>
        <v/>
      </c>
    </row>
    <row r="18">
      <c r="A18" s="6" t="inlineStr">
        <is>
          <t>Spread</t>
        </is>
      </c>
      <c r="B18" s="7">
        <f>IF(AND(ISNUMBER(B16),ISNUMBER(B17)),B16-B17,"—")</f>
        <v/>
      </c>
      <c r="C18" s="7">
        <f>IF(AND(ISNUMBER(C16),ISNUMBER(C17)),C16-C17,"—")</f>
        <v/>
      </c>
      <c r="D18" s="7">
        <f>IF(AND(ISNUMBER(D16),ISNUMBER(D17)),D16-D17,"—")</f>
        <v/>
      </c>
      <c r="E18" s="7">
        <f>IF(AND(ISNUMBER(E16),ISNUMBER(E17)),E16-E17,"—")</f>
        <v/>
      </c>
      <c r="F18" s="7">
        <f>IF(AND(ISNUMBER(F16),ISNUMBER(F17)),F16-F17,"—")</f>
        <v/>
      </c>
      <c r="G18" s="7">
        <f>IF(AND(ISNUMBER(G16),ISNUMBER(G17)),G16-G17,"—")</f>
        <v/>
      </c>
      <c r="H18" s="7">
        <f>IF(AND(ISNUMBER(H16),ISNUMBER(H17)),H16-H17,"—")</f>
        <v/>
      </c>
      <c r="I18" s="7">
        <f>IF(AND(ISNUMBER(I16),ISNUMBER(I17)),I16-I17,"—")</f>
        <v/>
      </c>
      <c r="J18" s="7">
        <f>IF(AND(ISNUMBER(J16),ISNUMBER(J17)),J16-J17,"—")</f>
        <v/>
      </c>
      <c r="K18" s="7">
        <f>IF(AND(ISNUMBER(K16),ISNUMBER(K17)),K16-K17,"—")</f>
        <v/>
      </c>
      <c r="L18" s="7">
        <f>IF(AND(ISNUMBER(L16),ISNUMBER(L17)),L16-L17,"—")</f>
        <v/>
      </c>
      <c r="M18" s="7">
        <f>IF(AND(ISNUMBER(M16),ISNUMBER(M17)),M16-M17,"—")</f>
        <v/>
      </c>
      <c r="N18" s="7">
        <f>IF(AND(ISNUMBER(N16),ISNUMBER(N17)),N16-N17,"—")</f>
        <v/>
      </c>
      <c r="O18" s="7">
        <f>IF(AND(ISNUMBER(O16),ISNUMBER(O17)),O16-O17,"—")</f>
        <v/>
      </c>
      <c r="P18" s="7">
        <f>IF(AND(ISNUMBER(P16),ISNUMBER(P17)),P16-P17,"—")</f>
        <v/>
      </c>
      <c r="Q18" s="7">
        <f>IF(AND(ISNUMBER(Q16),ISNUMBER(Q17)),Q16-Q17,"—")</f>
        <v/>
      </c>
      <c r="R18" s="7">
        <f>IF(AND(ISNUMBER(R16),ISNUMBER(R17)),R16-R17,"—")</f>
        <v/>
      </c>
      <c r="S18" s="7">
        <f>IF(AND(ISNUMBER(S16),ISNUMBER(S17)),S16-S17,"—")</f>
        <v/>
      </c>
      <c r="T18" s="7">
        <f>IF(AND(ISNUMBER(T16),ISNUMBER(T17)),T16-T17,"—")</f>
        <v/>
      </c>
      <c r="U18" s="7">
        <f>IF(AND(ISNUMBER(U16),ISNUMBER(U17)),U16-U17,"—")</f>
        <v/>
      </c>
      <c r="V18" s="7">
        <f>IF(AND(ISNUMBER(V16),ISNUMBER(V17)),V16-V17,"—")</f>
        <v/>
      </c>
      <c r="W18" s="7">
        <f>IF(AND(ISNUMBER(W16),ISNUMBER(W17)),W16-W17,"—")</f>
        <v/>
      </c>
      <c r="X18" s="7">
        <f>IF(AND(ISNUMBER(X16),ISNUMBER(X17)),X16-X17,"—")</f>
        <v/>
      </c>
      <c r="Y18" s="7">
        <f>IF(AND(ISNUMBER(Y16),ISNUMBER(Y17)),Y16-Y17,"—")</f>
        <v/>
      </c>
      <c r="Z18" s="7">
        <f>IF(AND(ISNUMBER(Z16),ISNUMBER(Z17)),Z16-Z17,"—")</f>
        <v/>
      </c>
      <c r="AA18" s="7">
        <f>IF(AND(ISNUMBER(AA16),ISNUMBER(AA17)),AA16-AA17,"—")</f>
        <v/>
      </c>
      <c r="AB18" s="7">
        <f>IF(AND(ISNUMBER(AB16),ISNUMBER(AB17)),AB16-AB17,"—")</f>
        <v/>
      </c>
      <c r="AC18" s="7">
        <f>IF(AND(ISNUMBER(AC16),ISNUMBER(AC17)),AC16-AC17,"—")</f>
        <v/>
      </c>
      <c r="AD18" s="7">
        <f>IF(AND(ISNUMBER(AD16),ISNUMBER(AD17)),AD16-AD17,"—")</f>
        <v/>
      </c>
      <c r="AE18" s="7">
        <f>IF(AND(ISNUMBER(AE16),ISNUMBER(AE17)),AE16-AE17,"—")</f>
        <v/>
      </c>
    </row>
    <row r="19">
      <c r="A19" s="6" t="inlineStr">
        <is>
          <t>% Pos</t>
        </is>
      </c>
      <c r="B19" s="8">
        <f>IF(COUNTA(B2:B13),COUNTIF(B2:B13,"&gt;0")/COUNTA(B2:B13),"—")</f>
        <v/>
      </c>
      <c r="C19" s="8">
        <f>IF(COUNTA(C2:C13),COUNTIF(C2:C13,"&gt;0")/COUNTA(C2:C13),"—")</f>
        <v/>
      </c>
      <c r="D19" s="8">
        <f>IF(COUNTA(D2:D13),COUNTIF(D2:D13,"&gt;0")/COUNTA(D2:D13),"—")</f>
        <v/>
      </c>
      <c r="E19" s="8">
        <f>IF(COUNTA(E2:E13),COUNTIF(E2:E13,"&gt;0")/COUNTA(E2:E13),"—")</f>
        <v/>
      </c>
      <c r="F19" s="8">
        <f>IF(COUNTA(F2:F13),COUNTIF(F2:F13,"&gt;0")/COUNTA(F2:F13),"—")</f>
        <v/>
      </c>
      <c r="G19" s="8">
        <f>IF(COUNTA(G2:G13),COUNTIF(G2:G13,"&gt;0")/COUNTA(G2:G13),"—")</f>
        <v/>
      </c>
      <c r="H19" s="8">
        <f>IF(COUNTA(H2:H13),COUNTIF(H2:H13,"&gt;0")/COUNTA(H2:H13),"—")</f>
        <v/>
      </c>
      <c r="I19" s="8">
        <f>IF(COUNTA(I2:I13),COUNTIF(I2:I13,"&gt;0")/COUNTA(I2:I13),"—")</f>
        <v/>
      </c>
      <c r="J19" s="8">
        <f>IF(COUNTA(J2:J13),COUNTIF(J2:J13,"&gt;0")/COUNTA(J2:J13),"—")</f>
        <v/>
      </c>
      <c r="K19" s="8">
        <f>IF(COUNTA(K2:K13),COUNTIF(K2:K13,"&gt;0")/COUNTA(K2:K13),"—")</f>
        <v/>
      </c>
      <c r="L19" s="8">
        <f>IF(COUNTA(L2:L13),COUNTIF(L2:L13,"&gt;0")/COUNTA(L2:L13),"—")</f>
        <v/>
      </c>
      <c r="M19" s="8">
        <f>IF(COUNTA(M2:M13),COUNTIF(M2:M13,"&gt;0")/COUNTA(M2:M13),"—")</f>
        <v/>
      </c>
      <c r="N19" s="8">
        <f>IF(COUNTA(N2:N13),COUNTIF(N2:N13,"&gt;0")/COUNTA(N2:N13),"—")</f>
        <v/>
      </c>
      <c r="O19" s="8">
        <f>IF(COUNTA(O2:O13),COUNTIF(O2:O13,"&gt;0")/COUNTA(O2:O13),"—")</f>
        <v/>
      </c>
      <c r="P19" s="8">
        <f>IF(COUNTA(P2:P13),COUNTIF(P2:P13,"&gt;0")/COUNTA(P2:P13),"—")</f>
        <v/>
      </c>
      <c r="Q19" s="8">
        <f>IF(COUNTA(Q2:Q13),COUNTIF(Q2:Q13,"&gt;0")/COUNTA(Q2:Q13),"—")</f>
        <v/>
      </c>
      <c r="R19" s="8">
        <f>IF(COUNTA(R2:R13),COUNTIF(R2:R13,"&gt;0")/COUNTA(R2:R13),"—")</f>
        <v/>
      </c>
      <c r="S19" s="8">
        <f>IF(COUNTA(S2:S13),COUNTIF(S2:S13,"&gt;0")/COUNTA(S2:S13),"—")</f>
        <v/>
      </c>
      <c r="T19" s="8">
        <f>IF(COUNTA(T2:T13),COUNTIF(T2:T13,"&gt;0")/COUNTA(T2:T13),"—")</f>
        <v/>
      </c>
      <c r="U19" s="8">
        <f>IF(COUNTA(U2:U13),COUNTIF(U2:U13,"&gt;0")/COUNTA(U2:U13),"—")</f>
        <v/>
      </c>
      <c r="V19" s="8">
        <f>IF(COUNTA(V2:V13),COUNTIF(V2:V13,"&gt;0")/COUNTA(V2:V13),"—")</f>
        <v/>
      </c>
      <c r="W19" s="8">
        <f>IF(COUNTA(W2:W13),COUNTIF(W2:W13,"&gt;0")/COUNTA(W2:W13),"—")</f>
        <v/>
      </c>
      <c r="X19" s="8">
        <f>IF(COUNTA(X2:X13),COUNTIF(X2:X13,"&gt;0")/COUNTA(X2:X13),"—")</f>
        <v/>
      </c>
      <c r="Y19" s="8">
        <f>IF(COUNTA(Y2:Y13),COUNTIF(Y2:Y13,"&gt;0")/COUNTA(Y2:Y13),"—")</f>
        <v/>
      </c>
      <c r="Z19" s="8">
        <f>IF(COUNTA(Z2:Z13),COUNTIF(Z2:Z13,"&gt;0")/COUNTA(Z2:Z13),"—")</f>
        <v/>
      </c>
      <c r="AA19" s="8">
        <f>IF(COUNTA(AA2:AA13),COUNTIF(AA2:AA13,"&gt;0")/COUNTA(AA2:AA13),"—")</f>
        <v/>
      </c>
      <c r="AB19" s="8">
        <f>IF(COUNTA(AB2:AB13),COUNTIF(AB2:AB13,"&gt;0")/COUNTA(AB2:AB13),"—")</f>
        <v/>
      </c>
      <c r="AC19" s="8">
        <f>IF(COUNTA(AC2:AC13),COUNTIF(AC2:AC13,"&gt;0")/COUNTA(AC2:AC13),"—")</f>
        <v/>
      </c>
      <c r="AD19" s="8">
        <f>IF(COUNTA(AD2:AD13),COUNTIF(AD2:AD13,"&gt;0")/COUNTA(AD2:AD13),"—")</f>
        <v/>
      </c>
      <c r="AE19" s="8">
        <f>IF(COUNTA(AE2:AE13),COUNTIF(AE2:AE13,"&gt;0")/COUNTA(AE2:AE13),"—")</f>
        <v/>
      </c>
    </row>
    <row r="20">
      <c r="A20" s="6" t="inlineStr">
        <is>
          <t>% Neg</t>
        </is>
      </c>
      <c r="B20" s="8">
        <f>IF(COUNTA(B2:B13),COUNTIF(B2:B13,"&lt;0")/COUNTA(B2:B13),"—")</f>
        <v/>
      </c>
      <c r="C20" s="8">
        <f>IF(COUNTA(C2:C13),COUNTIF(C2:C13,"&lt;0")/COUNTA(C2:C13),"—")</f>
        <v/>
      </c>
      <c r="D20" s="8">
        <f>IF(COUNTA(D2:D13),COUNTIF(D2:D13,"&lt;0")/COUNTA(D2:D13),"—")</f>
        <v/>
      </c>
      <c r="E20" s="8">
        <f>IF(COUNTA(E2:E13),COUNTIF(E2:E13,"&lt;0")/COUNTA(E2:E13),"—")</f>
        <v/>
      </c>
      <c r="F20" s="8">
        <f>IF(COUNTA(F2:F13),COUNTIF(F2:F13,"&lt;0")/COUNTA(F2:F13),"—")</f>
        <v/>
      </c>
      <c r="G20" s="8">
        <f>IF(COUNTA(G2:G13),COUNTIF(G2:G13,"&lt;0")/COUNTA(G2:G13),"—")</f>
        <v/>
      </c>
      <c r="H20" s="8">
        <f>IF(COUNTA(H2:H13),COUNTIF(H2:H13,"&lt;0")/COUNTA(H2:H13),"—")</f>
        <v/>
      </c>
      <c r="I20" s="8">
        <f>IF(COUNTA(I2:I13),COUNTIF(I2:I13,"&lt;0")/COUNTA(I2:I13),"—")</f>
        <v/>
      </c>
      <c r="J20" s="8">
        <f>IF(COUNTA(J2:J13),COUNTIF(J2:J13,"&lt;0")/COUNTA(J2:J13),"—")</f>
        <v/>
      </c>
      <c r="K20" s="8">
        <f>IF(COUNTA(K2:K13),COUNTIF(K2:K13,"&lt;0")/COUNTA(K2:K13),"—")</f>
        <v/>
      </c>
      <c r="L20" s="8">
        <f>IF(COUNTA(L2:L13),COUNTIF(L2:L13,"&lt;0")/COUNTA(L2:L13),"—")</f>
        <v/>
      </c>
      <c r="M20" s="8">
        <f>IF(COUNTA(M2:M13),COUNTIF(M2:M13,"&lt;0")/COUNTA(M2:M13),"—")</f>
        <v/>
      </c>
      <c r="N20" s="8">
        <f>IF(COUNTA(N2:N13),COUNTIF(N2:N13,"&lt;0")/COUNTA(N2:N13),"—")</f>
        <v/>
      </c>
      <c r="O20" s="8">
        <f>IF(COUNTA(O2:O13),COUNTIF(O2:O13,"&lt;0")/COUNTA(O2:O13),"—")</f>
        <v/>
      </c>
      <c r="P20" s="8">
        <f>IF(COUNTA(P2:P13),COUNTIF(P2:P13,"&lt;0")/COUNTA(P2:P13),"—")</f>
        <v/>
      </c>
      <c r="Q20" s="8">
        <f>IF(COUNTA(Q2:Q13),COUNTIF(Q2:Q13,"&lt;0")/COUNTA(Q2:Q13),"—")</f>
        <v/>
      </c>
      <c r="R20" s="8">
        <f>IF(COUNTA(R2:R13),COUNTIF(R2:R13,"&lt;0")/COUNTA(R2:R13),"—")</f>
        <v/>
      </c>
      <c r="S20" s="8">
        <f>IF(COUNTA(S2:S13),COUNTIF(S2:S13,"&lt;0")/COUNTA(S2:S13),"—")</f>
        <v/>
      </c>
      <c r="T20" s="8">
        <f>IF(COUNTA(T2:T13),COUNTIF(T2:T13,"&lt;0")/COUNTA(T2:T13),"—")</f>
        <v/>
      </c>
      <c r="U20" s="8">
        <f>IF(COUNTA(U2:U13),COUNTIF(U2:U13,"&lt;0")/COUNTA(U2:U13),"—")</f>
        <v/>
      </c>
      <c r="V20" s="8">
        <f>IF(COUNTA(V2:V13),COUNTIF(V2:V13,"&lt;0")/COUNTA(V2:V13),"—")</f>
        <v/>
      </c>
      <c r="W20" s="8">
        <f>IF(COUNTA(W2:W13),COUNTIF(W2:W13,"&lt;0")/COUNTA(W2:W13),"—")</f>
        <v/>
      </c>
      <c r="X20" s="8">
        <f>IF(COUNTA(X2:X13),COUNTIF(X2:X13,"&lt;0")/COUNTA(X2:X13),"—")</f>
        <v/>
      </c>
      <c r="Y20" s="8">
        <f>IF(COUNTA(Y2:Y13),COUNTIF(Y2:Y13,"&lt;0")/COUNTA(Y2:Y13),"—")</f>
        <v/>
      </c>
      <c r="Z20" s="8">
        <f>IF(COUNTA(Z2:Z13),COUNTIF(Z2:Z13,"&lt;0")/COUNTA(Z2:Z13),"—")</f>
        <v/>
      </c>
      <c r="AA20" s="8">
        <f>IF(COUNTA(AA2:AA13),COUNTIF(AA2:AA13,"&lt;0")/COUNTA(AA2:AA13),"—")</f>
        <v/>
      </c>
      <c r="AB20" s="8">
        <f>IF(COUNTA(AB2:AB13),COUNTIF(AB2:AB13,"&lt;0")/COUNTA(AB2:AB13),"—")</f>
        <v/>
      </c>
      <c r="AC20" s="8">
        <f>IF(COUNTA(AC2:AC13),COUNTIF(AC2:AC13,"&lt;0")/COUNTA(AC2:AC13),"—")</f>
        <v/>
      </c>
      <c r="AD20" s="8">
        <f>IF(COUNTA(AD2:AD13),COUNTIF(AD2:AD13,"&lt;0")/COUNTA(AD2:AD13),"—")</f>
        <v/>
      </c>
      <c r="AE20" s="8">
        <f>IF(COUNTA(AE2:AE13),COUNTIF(AE2:AE13,"&lt;0")/COUNTA(AE2:AE13),"—")</f>
        <v/>
      </c>
    </row>
    <row r="22">
      <c r="A22" s="6" t="inlineStr">
        <is>
          <t>Best Swing</t>
        </is>
      </c>
      <c r="B22" s="9" t="inlineStr">
        <is>
          <t>2025-08-05 09:49:54</t>
        </is>
      </c>
      <c r="C22" s="10" t="n">
        <v>73.41</v>
      </c>
      <c r="D22" s="10" t="n">
        <v>101.78</v>
      </c>
      <c r="E22" s="10" t="n">
        <v>1.39</v>
      </c>
      <c r="F22" s="10" t="n">
        <v>142.34</v>
      </c>
      <c r="G22" s="10" t="n">
        <v>155.63</v>
      </c>
      <c r="H22" s="10" t="n">
        <v>7.33</v>
      </c>
      <c r="I22" s="10" t="n">
        <v>-1.72</v>
      </c>
      <c r="J22" s="10" t="n">
        <v>3.2</v>
      </c>
      <c r="K22" s="10" t="n">
        <v>-2.44</v>
      </c>
      <c r="L22" s="10" t="n">
        <v>-5.64</v>
      </c>
      <c r="M22" s="10" t="n">
        <v>-1.4</v>
      </c>
      <c r="N22" s="10" t="n">
        <v>-2</v>
      </c>
      <c r="O22" s="10" t="n">
        <v>23.86</v>
      </c>
      <c r="P22" s="10" t="n">
        <v>19.41</v>
      </c>
      <c r="Q22" s="10" t="n">
        <v>26.49</v>
      </c>
      <c r="R22" s="10" t="n">
        <v>4603.26</v>
      </c>
      <c r="S22" s="10" t="n">
        <v>-10.34</v>
      </c>
      <c r="T22" s="10" t="n">
        <v>-31.25</v>
      </c>
      <c r="U22" s="10" t="n">
        <v>-41.62</v>
      </c>
      <c r="V22" s="10" t="n">
        <v>-47.71</v>
      </c>
      <c r="W22" s="10" t="n">
        <v>68.84</v>
      </c>
      <c r="X22" s="10" t="n">
        <v>41.23</v>
      </c>
      <c r="Y22" s="10" t="n">
        <v>2.05</v>
      </c>
      <c r="Z22" s="10" t="n">
        <v>63.93</v>
      </c>
      <c r="AA22" s="10" t="n">
        <v>1.21</v>
      </c>
      <c r="AB22" s="10" t="n">
        <v>-11.45</v>
      </c>
      <c r="AC22" s="10" t="n">
        <v>1.85</v>
      </c>
      <c r="AD22" s="10" t="n">
        <v/>
      </c>
      <c r="AE22" s="10" t="n">
        <v>5.21</v>
      </c>
      <c r="AF22" s="10" t="n">
        <v>65.45</v>
      </c>
    </row>
  </sheetData>
  <autoFilter ref="A1:A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.5" customWidth="1" min="2" max="2"/>
    <col width="11.5" customWidth="1" min="3" max="3"/>
    <col width="9.4" customWidth="1" min="4" max="4"/>
    <col width="9.4" customWidth="1" min="5" max="5"/>
    <col width="9.4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24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9.4" customWidth="1" min="19" max="19"/>
    <col width="11.5" customWidth="1" min="20" max="20"/>
    <col width="11.5" customWidth="1" min="21" max="21"/>
    <col width="11.5" customWidth="1" min="22" max="22"/>
    <col width="13.5" customWidth="1" min="23" max="23"/>
    <col width="23" customWidth="1" min="24" max="24"/>
    <col width="11.5" customWidth="1" min="25" max="25"/>
    <col width="9.4" customWidth="1" min="26" max="26"/>
    <col width="9.4" customWidth="1" min="27" max="27"/>
    <col width="11.5" customWidth="1" min="28" max="28"/>
    <col width="11.5" customWidth="1" min="29" max="29"/>
    <col width="14" customWidth="1" min="30" max="30"/>
    <col width="11.5" customWidth="1" min="31" max="31"/>
  </cols>
  <sheetData>
    <row r="1" ht="3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2025-08-05 09:40:54</t>
        </is>
      </c>
      <c r="B2" s="3" t="n">
        <v>63.4</v>
      </c>
      <c r="C2" s="3" t="n">
        <v>76.51000000000001</v>
      </c>
      <c r="D2" s="3" t="n">
        <v>1.21</v>
      </c>
      <c r="E2" s="3" t="n">
        <v>90.34</v>
      </c>
      <c r="F2" s="3" t="n">
        <v>100.05</v>
      </c>
      <c r="G2" s="3" t="n">
        <v>-5.01</v>
      </c>
      <c r="H2" s="3" t="n">
        <v>-1.74</v>
      </c>
      <c r="I2" s="3" t="n">
        <v>1.4</v>
      </c>
      <c r="J2" s="3" t="n">
        <v>-7.28</v>
      </c>
      <c r="K2" s="3" t="n">
        <v>-8.68</v>
      </c>
      <c r="L2" s="3" t="n">
        <v>-4.82</v>
      </c>
      <c r="M2" s="3" t="n">
        <v>-2.2</v>
      </c>
      <c r="N2" s="3" t="n">
        <v>30.87</v>
      </c>
      <c r="O2" s="3" t="n">
        <v>22.67</v>
      </c>
      <c r="P2" s="3" t="n">
        <v>34.12</v>
      </c>
      <c r="Q2" s="3" t="n">
        <v>6423.07</v>
      </c>
      <c r="R2" s="3" t="n">
        <v>-12.29</v>
      </c>
      <c r="S2" s="3" t="n">
        <v>-18.33</v>
      </c>
      <c r="T2" s="3" t="n">
        <v>-41</v>
      </c>
      <c r="U2" s="3" t="n">
        <v>-46.87</v>
      </c>
      <c r="V2" s="3" t="n">
        <v>43.31</v>
      </c>
      <c r="W2" s="3" t="n">
        <v>38.59</v>
      </c>
      <c r="X2" s="3" t="n">
        <v>0.23</v>
      </c>
      <c r="Y2" s="3" t="n">
        <v>62.71</v>
      </c>
      <c r="Z2" s="3" t="n">
        <v>1.17</v>
      </c>
      <c r="AA2" s="3" t="n">
        <v>-13.31</v>
      </c>
      <c r="AB2" s="3" t="n">
        <v>2.09</v>
      </c>
      <c r="AC2" s="3" t="n">
        <v/>
      </c>
      <c r="AD2" s="3" t="n">
        <v>3.97</v>
      </c>
      <c r="AE2" s="3" t="n">
        <v>68.02</v>
      </c>
    </row>
    <row r="3">
      <c r="A3" s="4" t="inlineStr">
        <is>
          <t>2025-08-05 09:41:19</t>
        </is>
      </c>
      <c r="B3" s="5" t="n">
        <v>65.73999999999999</v>
      </c>
      <c r="C3" s="5" t="n">
        <v>78.5</v>
      </c>
      <c r="D3" s="5" t="n">
        <v>1.19</v>
      </c>
      <c r="E3" s="5" t="n">
        <v>95.76000000000001</v>
      </c>
      <c r="F3" s="5" t="n">
        <v>103.21</v>
      </c>
      <c r="G3" s="5" t="n">
        <v>8.460000000000001</v>
      </c>
      <c r="H3" s="5" t="n">
        <v>8.23</v>
      </c>
      <c r="I3" s="5" t="n">
        <v>4</v>
      </c>
      <c r="J3" s="5" t="n">
        <v>-0.61</v>
      </c>
      <c r="K3" s="5" t="n">
        <v>-4.61</v>
      </c>
      <c r="L3" s="5" t="n">
        <v>0.61</v>
      </c>
      <c r="M3" s="5" t="n">
        <v>-1.4</v>
      </c>
      <c r="N3" s="5" t="n">
        <v>34.37</v>
      </c>
      <c r="O3" s="5" t="n">
        <v>26.43</v>
      </c>
      <c r="P3" s="5" t="n">
        <v>36.19</v>
      </c>
      <c r="Q3" s="5" t="n">
        <v>6219</v>
      </c>
      <c r="R3" s="5" t="n">
        <v>-6.16</v>
      </c>
      <c r="S3" s="5" t="n">
        <v>-10.6</v>
      </c>
      <c r="T3" s="5" t="n">
        <v>-7.53</v>
      </c>
      <c r="U3" s="5" t="n">
        <v>-8.640000000000001</v>
      </c>
      <c r="V3" s="5" t="n">
        <v>56.74</v>
      </c>
      <c r="W3" s="5" t="n">
        <v>44.42</v>
      </c>
      <c r="X3" s="5" t="n">
        <v>3.59</v>
      </c>
      <c r="Y3" s="5" t="n">
        <v>74.09999999999999</v>
      </c>
      <c r="Z3" s="5" t="n">
        <v>1.09</v>
      </c>
      <c r="AA3" s="5" t="n">
        <v>-6.48</v>
      </c>
      <c r="AB3" s="5" t="n">
        <v>1.26</v>
      </c>
      <c r="AC3" s="5" t="n">
        <v/>
      </c>
      <c r="AD3" s="5" t="n">
        <v>4.44</v>
      </c>
      <c r="AE3" s="5" t="n">
        <v>67.45999999999999</v>
      </c>
    </row>
    <row r="4">
      <c r="A4" s="2" t="inlineStr">
        <is>
          <t>2025-08-05 09:41:30</t>
        </is>
      </c>
      <c r="B4" s="3" t="n">
        <v>67.06999999999999</v>
      </c>
      <c r="C4" s="3" t="n">
        <v>82.45</v>
      </c>
      <c r="D4" s="3" t="n">
        <v>1.23</v>
      </c>
      <c r="E4" s="3" t="n">
        <v>103.12</v>
      </c>
      <c r="F4" s="3" t="n">
        <v>109.92</v>
      </c>
      <c r="G4" s="3" t="n">
        <v>5.13</v>
      </c>
      <c r="H4" s="3" t="n">
        <v>-3.03</v>
      </c>
      <c r="I4" s="3" t="n">
        <v>2.8</v>
      </c>
      <c r="J4" s="3" t="n">
        <v>-1.96</v>
      </c>
      <c r="K4" s="3" t="n">
        <v>-4.75</v>
      </c>
      <c r="L4" s="3" t="n">
        <v>-0.8</v>
      </c>
      <c r="M4" s="3" t="n">
        <v>-1.2</v>
      </c>
      <c r="N4" s="3" t="n">
        <v>34.93</v>
      </c>
      <c r="O4" s="3" t="n">
        <v>27.66</v>
      </c>
      <c r="P4" s="3" t="n">
        <v>36.44</v>
      </c>
      <c r="Q4" s="3" t="n">
        <v>5991</v>
      </c>
      <c r="R4" s="3" t="n">
        <v>-6.33</v>
      </c>
      <c r="S4" s="3" t="n">
        <v>-12.6</v>
      </c>
      <c r="T4" s="3" t="n">
        <v>-16.9</v>
      </c>
      <c r="U4" s="3" t="n">
        <v>-18.49</v>
      </c>
      <c r="V4" s="3" t="n">
        <v>66.89</v>
      </c>
      <c r="W4" s="3" t="n">
        <v>47.14</v>
      </c>
      <c r="X4" s="3" t="n">
        <v>2.47</v>
      </c>
      <c r="Y4" s="3" t="n">
        <v>74.23999999999999</v>
      </c>
      <c r="Z4" s="3" t="n">
        <v>1.11</v>
      </c>
      <c r="AA4" s="3" t="n">
        <v>-6.59</v>
      </c>
      <c r="AB4" s="3" t="n">
        <v>1.02</v>
      </c>
      <c r="AC4" s="3" t="n">
        <v/>
      </c>
      <c r="AD4" s="3" t="n">
        <v>4.79</v>
      </c>
      <c r="AE4" s="3" t="n">
        <v>68.51000000000001</v>
      </c>
    </row>
    <row r="5">
      <c r="A5" s="4" t="inlineStr">
        <is>
          <t>2025-08-05 09:41:44</t>
        </is>
      </c>
      <c r="B5" s="5" t="n">
        <v>68.43000000000001</v>
      </c>
      <c r="C5" s="5" t="n">
        <v>85.38</v>
      </c>
      <c r="D5" s="5" t="n">
        <v>1.25</v>
      </c>
      <c r="E5" s="5" t="n">
        <v>107.74</v>
      </c>
      <c r="F5" s="5" t="n">
        <v>114.34</v>
      </c>
      <c r="G5" s="5" t="n">
        <v>3.29</v>
      </c>
      <c r="H5" s="5" t="n">
        <v>-7.67</v>
      </c>
      <c r="I5" s="5" t="n">
        <v>2.8</v>
      </c>
      <c r="J5" s="5" t="n">
        <v>-3.78</v>
      </c>
      <c r="K5" s="5" t="n">
        <v>-6.58</v>
      </c>
      <c r="L5" s="5" t="n">
        <v>-2.18</v>
      </c>
      <c r="M5" s="5" t="n">
        <v>-1.6</v>
      </c>
      <c r="N5" s="5" t="n">
        <v>33.65</v>
      </c>
      <c r="O5" s="5" t="n">
        <v>26.34</v>
      </c>
      <c r="P5" s="5" t="n">
        <v>35.87</v>
      </c>
      <c r="Q5" s="5" t="n">
        <v>6293.27</v>
      </c>
      <c r="R5" s="5" t="n">
        <v>-8.779999999999999</v>
      </c>
      <c r="S5" s="5" t="n">
        <v>-19.12</v>
      </c>
      <c r="T5" s="5" t="n">
        <v>-31.39</v>
      </c>
      <c r="U5" s="5" t="n">
        <v>-34</v>
      </c>
      <c r="V5" s="5" t="n">
        <v>68.09999999999999</v>
      </c>
      <c r="W5" s="5" t="n">
        <v>46.82</v>
      </c>
      <c r="X5" s="5" t="n">
        <v>2.1</v>
      </c>
      <c r="Y5" s="5" t="n">
        <v>69.87</v>
      </c>
      <c r="Z5" s="5" t="n">
        <v>1.17</v>
      </c>
      <c r="AA5" s="5" t="n">
        <v>-9.25</v>
      </c>
      <c r="AB5" s="5" t="n">
        <v>1.5</v>
      </c>
      <c r="AC5" s="5" t="n">
        <v/>
      </c>
      <c r="AD5" s="5" t="n">
        <v>4.88</v>
      </c>
      <c r="AE5" s="5" t="n">
        <v>67.16</v>
      </c>
    </row>
    <row r="6">
      <c r="A6" s="2" t="inlineStr">
        <is>
          <t>2025-08-05 09:42:00</t>
        </is>
      </c>
      <c r="B6" s="3" t="n">
        <v>69.69</v>
      </c>
      <c r="C6" s="3" t="n">
        <v>84.87</v>
      </c>
      <c r="D6" s="3" t="n">
        <v>1.22</v>
      </c>
      <c r="E6" s="3" t="n">
        <v>108.11</v>
      </c>
      <c r="F6" s="3" t="n">
        <v>115.96</v>
      </c>
      <c r="G6" s="3" t="n">
        <v>9.51</v>
      </c>
      <c r="H6" s="3" t="n">
        <v>-3.44</v>
      </c>
      <c r="I6" s="3" t="n">
        <v>3.6</v>
      </c>
      <c r="J6" s="3" t="n">
        <v>-3.21</v>
      </c>
      <c r="K6" s="3" t="n">
        <v>-6.81</v>
      </c>
      <c r="L6" s="3" t="n">
        <v>-1.61</v>
      </c>
      <c r="M6" s="3" t="n">
        <v>-0.6</v>
      </c>
      <c r="N6" s="3" t="n">
        <v>33.05</v>
      </c>
      <c r="O6" s="3" t="n">
        <v>26.4</v>
      </c>
      <c r="P6" s="3" t="n">
        <v>34.35</v>
      </c>
      <c r="Q6" s="3" t="n">
        <v>5711.8</v>
      </c>
      <c r="R6" s="3" t="n">
        <v>-9.67</v>
      </c>
      <c r="S6" s="3" t="n">
        <v>-20.36</v>
      </c>
      <c r="T6" s="3" t="n">
        <v>-29.48</v>
      </c>
      <c r="U6" s="3" t="n">
        <v>-32.51</v>
      </c>
      <c r="V6" s="3" t="n">
        <v>66.86</v>
      </c>
      <c r="W6" s="3" t="n">
        <v>46.06</v>
      </c>
      <c r="X6" s="3" t="n">
        <v>3.41</v>
      </c>
      <c r="Y6" s="3" t="n">
        <v>73.23999999999999</v>
      </c>
      <c r="Z6" s="3" t="n">
        <v>1.11</v>
      </c>
      <c r="AA6" s="3" t="n">
        <v>-10.17</v>
      </c>
      <c r="AB6" s="3" t="n">
        <v>0.59</v>
      </c>
      <c r="AC6" s="3" t="n">
        <v/>
      </c>
      <c r="AD6" s="3" t="n">
        <v>4.83</v>
      </c>
      <c r="AE6" s="3" t="n">
        <v>68.42</v>
      </c>
    </row>
    <row r="7">
      <c r="A7" s="4" t="inlineStr">
        <is>
          <t>2025-08-05 09:42:18</t>
        </is>
      </c>
      <c r="B7" s="5" t="n">
        <v>68.27</v>
      </c>
      <c r="C7" s="5" t="n">
        <v>85.47</v>
      </c>
      <c r="D7" s="5" t="n">
        <v>1.25</v>
      </c>
      <c r="E7" s="5" t="n">
        <v>107.1</v>
      </c>
      <c r="F7" s="5" t="n">
        <v>113.08</v>
      </c>
      <c r="G7" s="5" t="n">
        <v>2.36</v>
      </c>
      <c r="H7" s="5" t="n">
        <v>-2.66</v>
      </c>
      <c r="I7" s="5" t="n">
        <v>2.6</v>
      </c>
      <c r="J7" s="5" t="n">
        <v>-4.02</v>
      </c>
      <c r="K7" s="5" t="n">
        <v>-6.62</v>
      </c>
      <c r="L7" s="5" t="n">
        <v>-2.32</v>
      </c>
      <c r="M7" s="5" t="n">
        <v>-1.8</v>
      </c>
      <c r="N7" s="5" t="n">
        <v>33.7</v>
      </c>
      <c r="O7" s="5" t="n">
        <v>25.89</v>
      </c>
      <c r="P7" s="5" t="n">
        <v>36.14</v>
      </c>
      <c r="Q7" s="5" t="n">
        <v>6728.29</v>
      </c>
      <c r="R7" s="5" t="n">
        <v>-8.74</v>
      </c>
      <c r="S7" s="5" t="n">
        <v>-19.21</v>
      </c>
      <c r="T7" s="5" t="n">
        <v>-32.17</v>
      </c>
      <c r="U7" s="5" t="n">
        <v>-34.6</v>
      </c>
      <c r="V7" s="5" t="n">
        <v>67.15000000000001</v>
      </c>
      <c r="W7" s="5" t="n">
        <v>46.71</v>
      </c>
      <c r="X7" s="5" t="n">
        <v>1.79</v>
      </c>
      <c r="Y7" s="5" t="n">
        <v>68.88</v>
      </c>
      <c r="Z7" s="5" t="n">
        <v>1.2</v>
      </c>
      <c r="AA7" s="5" t="n">
        <v>-9.24</v>
      </c>
      <c r="AB7" s="5" t="n">
        <v>1.73</v>
      </c>
      <c r="AC7" s="5" t="n">
        <v/>
      </c>
      <c r="AD7" s="5" t="n">
        <v>4.85</v>
      </c>
      <c r="AE7" s="5" t="n">
        <v>67.05</v>
      </c>
    </row>
    <row r="8">
      <c r="A8" s="2" t="inlineStr">
        <is>
          <t>2025-08-05 09:42:54</t>
        </is>
      </c>
      <c r="B8" s="3" t="n">
        <v>68.19</v>
      </c>
      <c r="C8" s="3" t="n">
        <v>82.36</v>
      </c>
      <c r="D8" s="3" t="n">
        <v>1.21</v>
      </c>
      <c r="E8" s="3" t="n">
        <v>100.79</v>
      </c>
      <c r="F8" s="3" t="n">
        <v>105.83</v>
      </c>
      <c r="G8" s="3" t="n">
        <v>0.1</v>
      </c>
      <c r="H8" s="3" t="n">
        <v>4.67</v>
      </c>
      <c r="I8" s="3" t="n">
        <v>2.2</v>
      </c>
      <c r="J8" s="3" t="n">
        <v>-0.93</v>
      </c>
      <c r="K8" s="3" t="n">
        <v>-3.13</v>
      </c>
      <c r="L8" s="3" t="n">
        <v>-0.03</v>
      </c>
      <c r="M8" s="3" t="n">
        <v>-2.8</v>
      </c>
      <c r="N8" s="3" t="n">
        <v>35.01</v>
      </c>
      <c r="O8" s="3" t="n">
        <v>25.94</v>
      </c>
      <c r="P8" s="3" t="n">
        <v>37.94</v>
      </c>
      <c r="Q8" s="3" t="n">
        <v>7411</v>
      </c>
      <c r="R8" s="3" t="n">
        <v>-3.98</v>
      </c>
      <c r="S8" s="3" t="n">
        <v>-8.039999999999999</v>
      </c>
      <c r="T8" s="3" t="n">
        <v>-8.199999999999999</v>
      </c>
      <c r="U8" s="3" t="n">
        <v>-8.85</v>
      </c>
      <c r="V8" s="3" t="n">
        <v>62.61</v>
      </c>
      <c r="W8" s="3" t="n">
        <v>46.31</v>
      </c>
      <c r="X8" s="3" t="n">
        <v>0.86</v>
      </c>
      <c r="Y8" s="3" t="n">
        <v>64.09</v>
      </c>
      <c r="Z8" s="3" t="n">
        <v>1.08</v>
      </c>
      <c r="AA8" s="3" t="n">
        <v>-4.21</v>
      </c>
      <c r="AB8" s="3" t="n">
        <v>2.4</v>
      </c>
      <c r="AC8" s="3" t="n">
        <v/>
      </c>
      <c r="AD8" s="3" t="n">
        <v>4.68</v>
      </c>
      <c r="AE8" s="3" t="n">
        <v>66.98</v>
      </c>
    </row>
    <row r="9">
      <c r="A9" s="4" t="inlineStr">
        <is>
          <t>2025-08-05 09:43:08</t>
        </is>
      </c>
      <c r="B9" s="5" t="n">
        <v>68.48999999999999</v>
      </c>
      <c r="C9" s="5" t="n">
        <v>84.3</v>
      </c>
      <c r="D9" s="5" t="n">
        <v>1.23</v>
      </c>
      <c r="E9" s="5" t="n">
        <v>105.19</v>
      </c>
      <c r="F9" s="5" t="n">
        <v>110.64</v>
      </c>
      <c r="G9" s="5" t="n">
        <v>6.29</v>
      </c>
      <c r="H9" s="5" t="n">
        <v>-4.07</v>
      </c>
      <c r="I9" s="5" t="n">
        <v>3</v>
      </c>
      <c r="J9" s="5" t="n">
        <v>0.17</v>
      </c>
      <c r="K9" s="5" t="n">
        <v>-2.83</v>
      </c>
      <c r="L9" s="5" t="n">
        <v>0.88</v>
      </c>
      <c r="M9" s="5" t="n">
        <v>-2</v>
      </c>
      <c r="N9" s="5" t="n">
        <v>35.67</v>
      </c>
      <c r="O9" s="5" t="n">
        <v>27.89</v>
      </c>
      <c r="P9" s="5" t="n">
        <v>37.8</v>
      </c>
      <c r="Q9" s="5" t="n">
        <v>6512.12</v>
      </c>
      <c r="R9" s="5" t="n">
        <v>-3.59</v>
      </c>
      <c r="S9" s="5" t="n">
        <v>-7.72</v>
      </c>
      <c r="T9" s="5" t="n">
        <v>-2.88</v>
      </c>
      <c r="U9" s="5" t="n">
        <v>-3.25</v>
      </c>
      <c r="V9" s="5" t="n">
        <v>71.45</v>
      </c>
      <c r="W9" s="5" t="n">
        <v>48.63</v>
      </c>
      <c r="X9" s="5" t="n">
        <v>2.22</v>
      </c>
      <c r="Y9" s="5" t="n">
        <v>69.09</v>
      </c>
      <c r="Z9" s="5" t="n">
        <v>1.14</v>
      </c>
      <c r="AA9" s="5" t="n">
        <v>-3.73</v>
      </c>
      <c r="AB9" s="5" t="n">
        <v>1.77</v>
      </c>
      <c r="AC9" s="5" t="n">
        <v/>
      </c>
      <c r="AD9" s="5" t="n">
        <v>4.94</v>
      </c>
      <c r="AE9" s="5" t="n">
        <v>66.15000000000001</v>
      </c>
    </row>
    <row r="10">
      <c r="A10" s="2" t="inlineStr">
        <is>
          <t>2025-08-05 09:43:21</t>
        </is>
      </c>
      <c r="B10" s="3" t="n">
        <v>68.75</v>
      </c>
      <c r="C10" s="3" t="n">
        <v>82.45</v>
      </c>
      <c r="D10" s="3" t="n">
        <v>1.2</v>
      </c>
      <c r="E10" s="3" t="n">
        <v>102.26</v>
      </c>
      <c r="F10" s="3" t="n">
        <v>107.93</v>
      </c>
      <c r="G10" s="3" t="n">
        <v>8.98</v>
      </c>
      <c r="H10" s="3" t="n">
        <v>-11.16</v>
      </c>
      <c r="I10" s="3" t="n">
        <v>5.4</v>
      </c>
      <c r="J10" s="3" t="n">
        <v>2.07</v>
      </c>
      <c r="K10" s="3" t="n">
        <v>-3.33</v>
      </c>
      <c r="L10" s="3" t="n">
        <v>2.86</v>
      </c>
      <c r="M10" s="3" t="n">
        <v>-1.8</v>
      </c>
      <c r="N10" s="3" t="n">
        <v>36.38</v>
      </c>
      <c r="O10" s="3" t="n">
        <v>28.7</v>
      </c>
      <c r="P10" s="3" t="n">
        <v>38.48</v>
      </c>
      <c r="Q10" s="3" t="n">
        <v>6301</v>
      </c>
      <c r="R10" s="3" t="n">
        <v>-4.05</v>
      </c>
      <c r="S10" s="3" t="n">
        <v>-8.220000000000001</v>
      </c>
      <c r="T10" s="3" t="n">
        <v>7.12</v>
      </c>
      <c r="U10" s="3" t="n">
        <v>7.27</v>
      </c>
      <c r="V10" s="3" t="n">
        <v>70.26000000000001</v>
      </c>
      <c r="W10" s="3" t="n">
        <v>48.68</v>
      </c>
      <c r="X10" s="3" t="n">
        <v>4.58</v>
      </c>
      <c r="Y10" s="3" t="n">
        <v>69.81</v>
      </c>
      <c r="Z10" s="3" t="n">
        <v>1.05</v>
      </c>
      <c r="AA10" s="3" t="n">
        <v>-4.18</v>
      </c>
      <c r="AB10" s="3" t="n">
        <v>1.57</v>
      </c>
      <c r="AC10" s="3" t="n">
        <v/>
      </c>
      <c r="AD10" s="3" t="n">
        <v>4.87</v>
      </c>
      <c r="AE10" s="3" t="n">
        <v>66.15000000000001</v>
      </c>
    </row>
    <row r="11">
      <c r="A11" s="4" t="inlineStr">
        <is>
          <t>2025-08-05 09:43:36</t>
        </is>
      </c>
      <c r="B11" s="5" t="n">
        <v>69.26000000000001</v>
      </c>
      <c r="C11" s="5" t="n">
        <v>83.09999999999999</v>
      </c>
      <c r="D11" s="5" t="n">
        <v>1.2</v>
      </c>
      <c r="E11" s="5" t="n">
        <v>103.56</v>
      </c>
      <c r="F11" s="5" t="n">
        <v>109.36</v>
      </c>
      <c r="G11" s="5" t="n">
        <v>7.35</v>
      </c>
      <c r="H11" s="5" t="n">
        <v>-7.37</v>
      </c>
      <c r="I11" s="5" t="n">
        <v>2.8</v>
      </c>
      <c r="J11" s="5" t="n">
        <v>0.86</v>
      </c>
      <c r="K11" s="5" t="n">
        <v>-1.94</v>
      </c>
      <c r="L11" s="5" t="n">
        <v>1.33</v>
      </c>
      <c r="M11" s="5" t="n">
        <v>-1.4</v>
      </c>
      <c r="N11" s="5" t="n">
        <v>36.04</v>
      </c>
      <c r="O11" s="5" t="n">
        <v>28.47</v>
      </c>
      <c r="P11" s="5" t="n">
        <v>37.55</v>
      </c>
      <c r="Q11" s="5" t="n">
        <v>6239</v>
      </c>
      <c r="R11" s="5" t="n">
        <v>-2.42</v>
      </c>
      <c r="S11" s="5" t="n">
        <v>-5</v>
      </c>
      <c r="T11" s="5" t="n">
        <v>2.21</v>
      </c>
      <c r="U11" s="5" t="n">
        <v>2.19</v>
      </c>
      <c r="V11" s="5" t="n">
        <v>70.81999999999999</v>
      </c>
      <c r="W11" s="5" t="n">
        <v>48.63</v>
      </c>
      <c r="X11" s="5" t="n">
        <v>2.17</v>
      </c>
      <c r="Y11" s="5" t="n">
        <v>68.19</v>
      </c>
      <c r="Z11" s="5" t="n">
        <v>1.11</v>
      </c>
      <c r="AA11" s="5" t="n">
        <v>-2.5</v>
      </c>
      <c r="AB11" s="5" t="n">
        <v>1.26</v>
      </c>
      <c r="AC11" s="5" t="n">
        <v/>
      </c>
      <c r="AD11" s="5" t="n">
        <v>4.9</v>
      </c>
      <c r="AE11" s="5" t="n">
        <v>66.34999999999999</v>
      </c>
    </row>
    <row r="12">
      <c r="A12" s="2" t="inlineStr">
        <is>
          <t>2025-08-05 09:43:51</t>
        </is>
      </c>
      <c r="B12" s="3" t="n">
        <v>69.92</v>
      </c>
      <c r="C12" s="3" t="n">
        <v>84.03</v>
      </c>
      <c r="D12" s="3" t="n">
        <v>1.2</v>
      </c>
      <c r="E12" s="3" t="n">
        <v>103.77</v>
      </c>
      <c r="F12" s="3" t="n">
        <v>108.21</v>
      </c>
      <c r="G12" s="3" t="n">
        <v>5.43</v>
      </c>
      <c r="H12" s="3" t="n">
        <v>-6.7</v>
      </c>
      <c r="I12" s="3" t="n">
        <v>2.4</v>
      </c>
      <c r="J12" s="3" t="n">
        <v>1.91</v>
      </c>
      <c r="K12" s="3" t="n">
        <v>-0.49</v>
      </c>
      <c r="L12" s="3" t="n">
        <v>2.06</v>
      </c>
      <c r="M12" s="3" t="n">
        <v>-1</v>
      </c>
      <c r="N12" s="3" t="n">
        <v>37.29</v>
      </c>
      <c r="O12" s="3" t="n">
        <v>29.16</v>
      </c>
      <c r="P12" s="3" t="n">
        <v>38.48</v>
      </c>
      <c r="Q12" s="3" t="n">
        <v>6761.54</v>
      </c>
      <c r="R12" s="3" t="n">
        <v>-0.7</v>
      </c>
      <c r="S12" s="3" t="n">
        <v>-1.52</v>
      </c>
      <c r="T12" s="3" t="n">
        <v>9.66</v>
      </c>
      <c r="U12" s="3" t="n">
        <v>10.04</v>
      </c>
      <c r="V12" s="3" t="n">
        <v>74.92</v>
      </c>
      <c r="W12" s="3" t="n">
        <v>50.18</v>
      </c>
      <c r="X12" s="3" t="n">
        <v>2</v>
      </c>
      <c r="Y12" s="3" t="n">
        <v>68.03</v>
      </c>
      <c r="Z12" s="3" t="n">
        <v>1.08</v>
      </c>
      <c r="AA12" s="3" t="n">
        <v>-0.72</v>
      </c>
      <c r="AB12" s="3" t="n">
        <v>0.98</v>
      </c>
      <c r="AC12" s="3" t="n">
        <v/>
      </c>
      <c r="AD12" s="3" t="n">
        <v>5.01</v>
      </c>
      <c r="AE12" s="3" t="n">
        <v>66.17</v>
      </c>
    </row>
    <row r="13">
      <c r="A13" s="4" t="inlineStr">
        <is>
          <t>2025-08-05 09:45:01</t>
        </is>
      </c>
      <c r="B13" s="5" t="n">
        <v>67.92</v>
      </c>
      <c r="C13" s="5" t="n">
        <v>84.67</v>
      </c>
      <c r="D13" s="5" t="n">
        <v>1.25</v>
      </c>
      <c r="E13" s="5" t="n">
        <v>105.74</v>
      </c>
      <c r="F13" s="5" t="n">
        <v>112.5</v>
      </c>
      <c r="G13" s="5" t="n">
        <v>0.13</v>
      </c>
      <c r="H13" s="5" t="n">
        <v>-7.19</v>
      </c>
      <c r="I13" s="5" t="n">
        <v>2</v>
      </c>
      <c r="J13" s="5" t="n">
        <v>-4.54</v>
      </c>
      <c r="K13" s="5" t="n">
        <v>-6.54</v>
      </c>
      <c r="L13" s="5" t="n">
        <v>-2.85</v>
      </c>
      <c r="M13" s="5" t="n">
        <v>-3.6</v>
      </c>
      <c r="N13" s="5" t="n">
        <v>32.5</v>
      </c>
      <c r="O13" s="5" t="n">
        <v>24.6</v>
      </c>
      <c r="P13" s="5" t="n">
        <v>36.65</v>
      </c>
      <c r="Q13" s="5" t="n">
        <v>6736.39</v>
      </c>
      <c r="R13" s="5" t="n">
        <v>-8.74</v>
      </c>
      <c r="S13" s="5" t="n">
        <v>-18.47</v>
      </c>
      <c r="T13" s="5" t="n">
        <v>-34.19</v>
      </c>
      <c r="U13" s="5" t="n">
        <v>-37.13</v>
      </c>
      <c r="V13" s="5" t="n">
        <v>61.81</v>
      </c>
      <c r="W13" s="5" t="n">
        <v>44.85</v>
      </c>
      <c r="X13" s="5" t="n">
        <v>0.52</v>
      </c>
      <c r="Y13" s="5" t="n">
        <v>66.92</v>
      </c>
      <c r="Z13" s="5" t="n">
        <v>1.17</v>
      </c>
      <c r="AA13" s="5" t="n">
        <v>-9.34</v>
      </c>
      <c r="AB13" s="5" t="n">
        <v>3.27</v>
      </c>
      <c r="AC13" s="5" t="n">
        <v/>
      </c>
      <c r="AD13" s="5" t="n">
        <v>4.7</v>
      </c>
      <c r="AE13" s="5" t="n">
        <v>67.48999999999999</v>
      </c>
    </row>
    <row r="14">
      <c r="A14" s="2" t="inlineStr">
        <is>
          <t>2025-08-05 09:45:34</t>
        </is>
      </c>
      <c r="B14" s="3" t="n">
        <v>69.37</v>
      </c>
      <c r="C14" s="3" t="n">
        <v>87.43000000000001</v>
      </c>
      <c r="D14" s="3" t="n">
        <v>1.26</v>
      </c>
      <c r="E14" s="3" t="n">
        <v>110.34</v>
      </c>
      <c r="F14" s="3" t="n">
        <v>115.87</v>
      </c>
      <c r="G14" s="3" t="n">
        <v>3.95</v>
      </c>
      <c r="H14" s="3" t="n">
        <v>-5.56</v>
      </c>
      <c r="I14" s="3" t="n">
        <v>3.2</v>
      </c>
      <c r="J14" s="3" t="n">
        <v>-0.68</v>
      </c>
      <c r="K14" s="3" t="n">
        <v>-3.88</v>
      </c>
      <c r="L14" s="3" t="n">
        <v>0.31</v>
      </c>
      <c r="M14" s="3" t="n">
        <v>-2.8</v>
      </c>
      <c r="N14" s="3" t="n">
        <v>33.77</v>
      </c>
      <c r="O14" s="3" t="n">
        <v>25.96</v>
      </c>
      <c r="P14" s="3" t="n">
        <v>36.95</v>
      </c>
      <c r="Q14" s="3" t="n">
        <v>6802.91</v>
      </c>
      <c r="R14" s="3" t="n">
        <v>-5.14</v>
      </c>
      <c r="S14" s="3" t="n">
        <v>-12.09</v>
      </c>
      <c r="T14" s="3" t="n">
        <v>-10.31</v>
      </c>
      <c r="U14" s="3" t="n">
        <v>-11.17</v>
      </c>
      <c r="V14" s="3" t="n">
        <v>71.28</v>
      </c>
      <c r="W14" s="3" t="n">
        <v>47.75</v>
      </c>
      <c r="X14" s="3" t="n">
        <v>2.06</v>
      </c>
      <c r="Y14" s="3" t="n">
        <v>68.31</v>
      </c>
      <c r="Z14" s="3" t="n">
        <v>1.1</v>
      </c>
      <c r="AA14" s="3" t="n">
        <v>-5.44</v>
      </c>
      <c r="AB14" s="3" t="n">
        <v>2.52</v>
      </c>
      <c r="AC14" s="3" t="n">
        <v/>
      </c>
      <c r="AD14" s="3" t="n">
        <v>5</v>
      </c>
      <c r="AE14" s="3" t="n">
        <v>68.19</v>
      </c>
    </row>
    <row r="15">
      <c r="A15" s="4" t="inlineStr">
        <is>
          <t>2025-08-05 09:45:56</t>
        </is>
      </c>
      <c r="B15" s="5" t="n">
        <v>70.13</v>
      </c>
      <c r="C15" s="5" t="n">
        <v>80.52</v>
      </c>
      <c r="D15" s="5" t="n">
        <v>1.15</v>
      </c>
      <c r="E15" s="5" t="n">
        <v>93.79000000000001</v>
      </c>
      <c r="F15" s="5" t="n">
        <v>107.6</v>
      </c>
      <c r="G15" s="5" t="n">
        <v>2.32</v>
      </c>
      <c r="H15" s="5" t="n">
        <v>-30.52</v>
      </c>
      <c r="I15" s="5" t="n">
        <v>0.2</v>
      </c>
      <c r="J15" s="5" t="n">
        <v>14.12</v>
      </c>
      <c r="K15" s="5" t="n">
        <v>13.92</v>
      </c>
      <c r="L15" s="5" t="n">
        <v>10.52</v>
      </c>
      <c r="M15" s="5" t="n">
        <v>-3.2</v>
      </c>
      <c r="N15" s="5" t="n">
        <v>25.44</v>
      </c>
      <c r="O15" s="5" t="n">
        <v>18.71</v>
      </c>
      <c r="P15" s="5" t="n">
        <v>31.82</v>
      </c>
      <c r="Q15" s="5" t="n">
        <v>5987.04</v>
      </c>
      <c r="R15" s="5" t="n">
        <v>21.89</v>
      </c>
      <c r="S15" s="5" t="n">
        <v>32.6</v>
      </c>
      <c r="T15" s="5" t="n">
        <v>83.08</v>
      </c>
      <c r="U15" s="5" t="n">
        <v>99.34</v>
      </c>
      <c r="V15" s="5" t="n">
        <v>36.01</v>
      </c>
      <c r="W15" s="5" t="n">
        <v>33</v>
      </c>
      <c r="X15" s="5" t="n">
        <v>-1.31</v>
      </c>
      <c r="Y15" s="5" t="n">
        <v>65.84</v>
      </c>
      <c r="Z15" s="5" t="n">
        <v>1.09</v>
      </c>
      <c r="AA15" s="5" t="n">
        <v>24.3</v>
      </c>
      <c r="AB15" s="5" t="n">
        <v>2.87</v>
      </c>
      <c r="AC15" s="5" t="n">
        <v/>
      </c>
      <c r="AD15" s="5" t="n">
        <v>3.73</v>
      </c>
      <c r="AE15" s="5" t="n">
        <v>61.61</v>
      </c>
    </row>
    <row r="16">
      <c r="A16" s="2" t="inlineStr">
        <is>
          <t>2025-08-05 09:46:16</t>
        </is>
      </c>
      <c r="B16" s="3" t="n">
        <v>69.13</v>
      </c>
      <c r="C16" s="3" t="n">
        <v>86.56999999999999</v>
      </c>
      <c r="D16" s="3" t="n">
        <v>1.25</v>
      </c>
      <c r="E16" s="3" t="n">
        <v>109.88</v>
      </c>
      <c r="F16" s="3" t="n">
        <v>116.86</v>
      </c>
      <c r="G16" s="3" t="n">
        <v>4.01</v>
      </c>
      <c r="H16" s="3" t="n">
        <v>-10.79</v>
      </c>
      <c r="I16" s="3" t="n">
        <v>2</v>
      </c>
      <c r="J16" s="3" t="n">
        <v>-4.44</v>
      </c>
      <c r="K16" s="3" t="n">
        <v>-6.44</v>
      </c>
      <c r="L16" s="3" t="n">
        <v>-2.86</v>
      </c>
      <c r="M16" s="3" t="n">
        <v>-2</v>
      </c>
      <c r="N16" s="3" t="n">
        <v>32.52</v>
      </c>
      <c r="O16" s="3" t="n">
        <v>25.29</v>
      </c>
      <c r="P16" s="3" t="n">
        <v>35.07</v>
      </c>
      <c r="Q16" s="3" t="n">
        <v>6311.51</v>
      </c>
      <c r="R16" s="3" t="n">
        <v>-8.92</v>
      </c>
      <c r="S16" s="3" t="n">
        <v>-19.97</v>
      </c>
      <c r="T16" s="3" t="n">
        <v>-36.35</v>
      </c>
      <c r="U16" s="3" t="n">
        <v>-39.43</v>
      </c>
      <c r="V16" s="3" t="n">
        <v>66.91</v>
      </c>
      <c r="W16" s="3" t="n">
        <v>46.01</v>
      </c>
      <c r="X16" s="3" t="n">
        <v>1.28</v>
      </c>
      <c r="Y16" s="3" t="n">
        <v>70.19</v>
      </c>
      <c r="Z16" s="3" t="n">
        <v>1.21</v>
      </c>
      <c r="AA16" s="3" t="n">
        <v>-9.470000000000001</v>
      </c>
      <c r="AB16" s="3" t="n">
        <v>1.85</v>
      </c>
      <c r="AC16" s="3" t="n">
        <v/>
      </c>
      <c r="AD16" s="3" t="n">
        <v>4.87</v>
      </c>
      <c r="AE16" s="3" t="n">
        <v>67.83</v>
      </c>
    </row>
    <row r="17">
      <c r="A17" s="4" t="inlineStr">
        <is>
          <t>2025-08-05 09:46:30</t>
        </is>
      </c>
      <c r="B17" s="5" t="n">
        <v>69.16</v>
      </c>
      <c r="C17" s="5" t="n">
        <v>82.39</v>
      </c>
      <c r="D17" s="5" t="n">
        <v>1.19</v>
      </c>
      <c r="E17" s="5" t="n">
        <v>104.91</v>
      </c>
      <c r="F17" s="5" t="n">
        <v>114.27</v>
      </c>
      <c r="G17" s="5" t="n">
        <v>9.539999999999999</v>
      </c>
      <c r="H17" s="5" t="n">
        <v>-12.43</v>
      </c>
      <c r="I17" s="5" t="n">
        <v>6</v>
      </c>
      <c r="J17" s="5" t="n">
        <v>-2.3</v>
      </c>
      <c r="K17" s="5" t="n">
        <v>-8.300000000000001</v>
      </c>
      <c r="L17" s="5" t="n">
        <v>-0.53</v>
      </c>
      <c r="M17" s="5" t="n">
        <v>-0.4</v>
      </c>
      <c r="N17" s="5" t="n">
        <v>32.84</v>
      </c>
      <c r="O17" s="5" t="n">
        <v>26.8</v>
      </c>
      <c r="P17" s="5" t="n">
        <v>34.32</v>
      </c>
      <c r="Q17" s="5" t="n">
        <v>5091</v>
      </c>
      <c r="R17" s="5" t="n">
        <v>-11.74</v>
      </c>
      <c r="S17" s="5" t="n">
        <v>-22.24</v>
      </c>
      <c r="T17" s="5" t="n">
        <v>-25.16</v>
      </c>
      <c r="U17" s="5" t="n">
        <v>-28.65</v>
      </c>
      <c r="V17" s="5" t="n">
        <v>62.98</v>
      </c>
      <c r="W17" s="5" t="n">
        <v>44.79</v>
      </c>
      <c r="X17" s="5" t="n">
        <v>5.78</v>
      </c>
      <c r="Y17" s="5" t="n">
        <v>75.61</v>
      </c>
      <c r="Z17" s="5" t="n">
        <v>1.14</v>
      </c>
      <c r="AA17" s="5" t="n">
        <v>-12.31</v>
      </c>
      <c r="AB17" s="5" t="n">
        <v>0.51</v>
      </c>
      <c r="AC17" s="5" t="n">
        <v/>
      </c>
      <c r="AD17" s="5" t="n">
        <v>4.67</v>
      </c>
      <c r="AE17" s="5" t="n">
        <v>68.64</v>
      </c>
    </row>
    <row r="18">
      <c r="A18" s="2" t="inlineStr">
        <is>
          <t>2025-08-05 09:46:46</t>
        </is>
      </c>
      <c r="B18" s="3" t="n">
        <v>69.55</v>
      </c>
      <c r="C18" s="3" t="n">
        <v>87.09</v>
      </c>
      <c r="D18" s="3" t="n">
        <v>1.25</v>
      </c>
      <c r="E18" s="3" t="n">
        <v>109.63</v>
      </c>
      <c r="F18" s="3" t="n">
        <v>114.79</v>
      </c>
      <c r="G18" s="3" t="n">
        <v>6.47</v>
      </c>
      <c r="H18" s="3" t="n">
        <v>-2.28</v>
      </c>
      <c r="I18" s="3" t="n">
        <v>4</v>
      </c>
      <c r="J18" s="3" t="n">
        <v>-1.22</v>
      </c>
      <c r="K18" s="3" t="n">
        <v>-5.22</v>
      </c>
      <c r="L18" s="3" t="n">
        <v>0.06</v>
      </c>
      <c r="M18" s="3" t="n">
        <v>-2.2</v>
      </c>
      <c r="N18" s="3" t="n">
        <v>34.99</v>
      </c>
      <c r="O18" s="3" t="n">
        <v>27.34</v>
      </c>
      <c r="P18" s="3" t="n">
        <v>37.58</v>
      </c>
      <c r="Q18" s="3" t="n">
        <v>6671</v>
      </c>
      <c r="R18" s="3" t="n">
        <v>-6.69</v>
      </c>
      <c r="S18" s="3" t="n">
        <v>-15.65</v>
      </c>
      <c r="T18" s="3" t="n">
        <v>-15.28</v>
      </c>
      <c r="U18" s="3" t="n">
        <v>-16.4</v>
      </c>
      <c r="V18" s="3" t="n">
        <v>74.81999999999999</v>
      </c>
      <c r="W18" s="3" t="n">
        <v>49.04</v>
      </c>
      <c r="X18" s="3" t="n">
        <v>3.04</v>
      </c>
      <c r="Y18" s="3" t="n">
        <v>67.55</v>
      </c>
      <c r="Z18" s="3" t="n">
        <v>1.1</v>
      </c>
      <c r="AA18" s="3" t="n">
        <v>-6.98</v>
      </c>
      <c r="AB18" s="3" t="n">
        <v>1.93</v>
      </c>
      <c r="AC18" s="3" t="n">
        <v/>
      </c>
      <c r="AD18" s="3" t="n">
        <v>5.07</v>
      </c>
      <c r="AE18" s="3" t="n">
        <v>66.90000000000001</v>
      </c>
    </row>
    <row r="19">
      <c r="A19" s="4" t="inlineStr">
        <is>
          <t>2025-08-05 09:47:02</t>
        </is>
      </c>
      <c r="B19" s="5" t="n">
        <v>70.78</v>
      </c>
      <c r="C19" s="5" t="n">
        <v>87.93000000000001</v>
      </c>
      <c r="D19" s="5" t="n">
        <v>1.24</v>
      </c>
      <c r="E19" s="5" t="n">
        <v>110.76</v>
      </c>
      <c r="F19" s="5" t="n">
        <v>115.62</v>
      </c>
      <c r="G19" s="5" t="n">
        <v>10.36</v>
      </c>
      <c r="H19" s="5" t="n">
        <v>1.54</v>
      </c>
      <c r="I19" s="5" t="n">
        <v>4.6</v>
      </c>
      <c r="J19" s="5" t="n">
        <v>0.09</v>
      </c>
      <c r="K19" s="5" t="n">
        <v>-4.51</v>
      </c>
      <c r="L19" s="5" t="n">
        <v>1.24</v>
      </c>
      <c r="M19" s="5" t="n">
        <v>-1.4</v>
      </c>
      <c r="N19" s="5" t="n">
        <v>34.99</v>
      </c>
      <c r="O19" s="5" t="n">
        <v>27.25</v>
      </c>
      <c r="P19" s="5" t="n">
        <v>36.7</v>
      </c>
      <c r="Q19" s="5" t="n">
        <v>6802.61</v>
      </c>
      <c r="R19" s="5" t="n">
        <v>-5.89</v>
      </c>
      <c r="S19" s="5" t="n">
        <v>-14.19</v>
      </c>
      <c r="T19" s="5" t="n">
        <v>-6.99</v>
      </c>
      <c r="U19" s="5" t="n">
        <v>-7.63</v>
      </c>
      <c r="V19" s="5" t="n">
        <v>76.27</v>
      </c>
      <c r="W19" s="5" t="n">
        <v>49.38</v>
      </c>
      <c r="X19" s="5" t="n">
        <v>4.01</v>
      </c>
      <c r="Y19" s="5" t="n">
        <v>68.38</v>
      </c>
      <c r="Z19" s="5" t="n">
        <v>1.07</v>
      </c>
      <c r="AA19" s="5" t="n">
        <v>-6.16</v>
      </c>
      <c r="AB19" s="5" t="n">
        <v>1.18</v>
      </c>
      <c r="AC19" s="5" t="n">
        <v/>
      </c>
      <c r="AD19" s="5" t="n">
        <v>5.12</v>
      </c>
      <c r="AE19" s="5" t="n">
        <v>67.34999999999999</v>
      </c>
    </row>
    <row r="21">
      <c r="A21" s="6" t="inlineStr">
        <is>
          <t>Pos Av</t>
        </is>
      </c>
      <c r="B21" s="7">
        <f>IF(COUNTIF(B2:B19,"&gt;0"),AVERAGEIF(B2:B19,"&gt;0"),"—")</f>
        <v/>
      </c>
      <c r="C21" s="7">
        <f>IF(COUNTIF(C2:C19,"&gt;0"),AVERAGEIF(C2:C19,"&gt;0"),"—")</f>
        <v/>
      </c>
      <c r="D21" s="7">
        <f>IF(COUNTIF(D2:D19,"&gt;0"),AVERAGEIF(D2:D19,"&gt;0"),"—")</f>
        <v/>
      </c>
      <c r="E21" s="7">
        <f>IF(COUNTIF(E2:E19,"&gt;0"),AVERAGEIF(E2:E19,"&gt;0"),"—")</f>
        <v/>
      </c>
      <c r="F21" s="7">
        <f>IF(COUNTIF(F2:F19,"&gt;0"),AVERAGEIF(F2:F19,"&gt;0"),"—")</f>
        <v/>
      </c>
      <c r="G21" s="7">
        <f>IF(COUNTIF(G2:G19,"&gt;0"),AVERAGEIF(G2:G19,"&gt;0"),"—")</f>
        <v/>
      </c>
      <c r="H21" s="7">
        <f>IF(COUNTIF(H2:H19,"&gt;0"),AVERAGEIF(H2:H19,"&gt;0"),"—")</f>
        <v/>
      </c>
      <c r="I21" s="7">
        <f>IF(COUNTIF(I2:I19,"&gt;0"),AVERAGEIF(I2:I19,"&gt;0"),"—")</f>
        <v/>
      </c>
      <c r="J21" s="7">
        <f>IF(COUNTIF(J2:J19,"&gt;0"),AVERAGEIF(J2:J19,"&gt;0"),"—")</f>
        <v/>
      </c>
      <c r="K21" s="7">
        <f>IF(COUNTIF(K2:K19,"&gt;0"),AVERAGEIF(K2:K19,"&gt;0"),"—")</f>
        <v/>
      </c>
      <c r="L21" s="7">
        <f>IF(COUNTIF(L2:L19,"&gt;0"),AVERAGEIF(L2:L19,"&gt;0"),"—")</f>
        <v/>
      </c>
      <c r="M21" s="7">
        <f>IF(COUNTIF(M2:M19,"&gt;0"),AVERAGEIF(M2:M19,"&gt;0"),"—")</f>
        <v/>
      </c>
      <c r="N21" s="7">
        <f>IF(COUNTIF(N2:N19,"&gt;0"),AVERAGEIF(N2:N19,"&gt;0"),"—")</f>
        <v/>
      </c>
      <c r="O21" s="7">
        <f>IF(COUNTIF(O2:O19,"&gt;0"),AVERAGEIF(O2:O19,"&gt;0"),"—")</f>
        <v/>
      </c>
      <c r="P21" s="7">
        <f>IF(COUNTIF(P2:P19,"&gt;0"),AVERAGEIF(P2:P19,"&gt;0"),"—")</f>
        <v/>
      </c>
      <c r="Q21" s="7">
        <f>IF(COUNTIF(Q2:Q19,"&gt;0"),AVERAGEIF(Q2:Q19,"&gt;0"),"—")</f>
        <v/>
      </c>
      <c r="R21" s="7">
        <f>IF(COUNTIF(R2:R19,"&gt;0"),AVERAGEIF(R2:R19,"&gt;0"),"—")</f>
        <v/>
      </c>
      <c r="S21" s="7">
        <f>IF(COUNTIF(S2:S19,"&gt;0"),AVERAGEIF(S2:S19,"&gt;0"),"—")</f>
        <v/>
      </c>
      <c r="T21" s="7">
        <f>IF(COUNTIF(T2:T19,"&gt;0"),AVERAGEIF(T2:T19,"&gt;0"),"—")</f>
        <v/>
      </c>
      <c r="U21" s="7">
        <f>IF(COUNTIF(U2:U19,"&gt;0"),AVERAGEIF(U2:U19,"&gt;0"),"—")</f>
        <v/>
      </c>
      <c r="V21" s="7">
        <f>IF(COUNTIF(V2:V19,"&gt;0"),AVERAGEIF(V2:V19,"&gt;0"),"—")</f>
        <v/>
      </c>
      <c r="W21" s="7">
        <f>IF(COUNTIF(W2:W19,"&gt;0"),AVERAGEIF(W2:W19,"&gt;0"),"—")</f>
        <v/>
      </c>
      <c r="X21" s="7">
        <f>IF(COUNTIF(X2:X19,"&gt;0"),AVERAGEIF(X2:X19,"&gt;0"),"—")</f>
        <v/>
      </c>
      <c r="Y21" s="7">
        <f>IF(COUNTIF(Y2:Y19,"&gt;0"),AVERAGEIF(Y2:Y19,"&gt;0"),"—")</f>
        <v/>
      </c>
      <c r="Z21" s="7">
        <f>IF(COUNTIF(Z2:Z19,"&gt;0"),AVERAGEIF(Z2:Z19,"&gt;0"),"—")</f>
        <v/>
      </c>
      <c r="AA21" s="7">
        <f>IF(COUNTIF(AA2:AA19,"&gt;0"),AVERAGEIF(AA2:AA19,"&gt;0"),"—")</f>
        <v/>
      </c>
      <c r="AB21" s="7">
        <f>IF(COUNTIF(AB2:AB19,"&gt;0"),AVERAGEIF(AB2:AB19,"&gt;0"),"—")</f>
        <v/>
      </c>
      <c r="AC21" s="7">
        <f>IF(COUNTIF(AC2:AC19,"&gt;0"),AVERAGEIF(AC2:AC19,"&gt;0"),"—")</f>
        <v/>
      </c>
      <c r="AD21" s="7">
        <f>IF(COUNTIF(AD2:AD19,"&gt;0"),AVERAGEIF(AD2:AD19,"&gt;0"),"—")</f>
        <v/>
      </c>
      <c r="AE21" s="7">
        <f>IF(COUNTIF(AE2:AE19,"&gt;0"),AVERAGEIF(AE2:AE19,"&gt;0"),"—")</f>
        <v/>
      </c>
    </row>
    <row r="22">
      <c r="A22" s="6" t="inlineStr">
        <is>
          <t>Neg Av</t>
        </is>
      </c>
      <c r="B22" s="7">
        <f>IF(COUNTIF(B2:B19,"&lt;0"),AVERAGEIF(B2:B19,"&lt;0"),"—")</f>
        <v/>
      </c>
      <c r="C22" s="7">
        <f>IF(COUNTIF(C2:C19,"&lt;0"),AVERAGEIF(C2:C19,"&lt;0"),"—")</f>
        <v/>
      </c>
      <c r="D22" s="7">
        <f>IF(COUNTIF(D2:D19,"&lt;0"),AVERAGEIF(D2:D19,"&lt;0"),"—")</f>
        <v/>
      </c>
      <c r="E22" s="7">
        <f>IF(COUNTIF(E2:E19,"&lt;0"),AVERAGEIF(E2:E19,"&lt;0"),"—")</f>
        <v/>
      </c>
      <c r="F22" s="7">
        <f>IF(COUNTIF(F2:F19,"&lt;0"),AVERAGEIF(F2:F19,"&lt;0"),"—")</f>
        <v/>
      </c>
      <c r="G22" s="7">
        <f>IF(COUNTIF(G2:G19,"&lt;0"),AVERAGEIF(G2:G19,"&lt;0"),"—")</f>
        <v/>
      </c>
      <c r="H22" s="7">
        <f>IF(COUNTIF(H2:H19,"&lt;0"),AVERAGEIF(H2:H19,"&lt;0"),"—")</f>
        <v/>
      </c>
      <c r="I22" s="7">
        <f>IF(COUNTIF(I2:I19,"&lt;0"),AVERAGEIF(I2:I19,"&lt;0"),"—")</f>
        <v/>
      </c>
      <c r="J22" s="7">
        <f>IF(COUNTIF(J2:J19,"&lt;0"),AVERAGEIF(J2:J19,"&lt;0"),"—")</f>
        <v/>
      </c>
      <c r="K22" s="7">
        <f>IF(COUNTIF(K2:K19,"&lt;0"),AVERAGEIF(K2:K19,"&lt;0"),"—")</f>
        <v/>
      </c>
      <c r="L22" s="7">
        <f>IF(COUNTIF(L2:L19,"&lt;0"),AVERAGEIF(L2:L19,"&lt;0"),"—")</f>
        <v/>
      </c>
      <c r="M22" s="7">
        <f>IF(COUNTIF(M2:M19,"&lt;0"),AVERAGEIF(M2:M19,"&lt;0"),"—")</f>
        <v/>
      </c>
      <c r="N22" s="7">
        <f>IF(COUNTIF(N2:N19,"&lt;0"),AVERAGEIF(N2:N19,"&lt;0"),"—")</f>
        <v/>
      </c>
      <c r="O22" s="7">
        <f>IF(COUNTIF(O2:O19,"&lt;0"),AVERAGEIF(O2:O19,"&lt;0"),"—")</f>
        <v/>
      </c>
      <c r="P22" s="7">
        <f>IF(COUNTIF(P2:P19,"&lt;0"),AVERAGEIF(P2:P19,"&lt;0"),"—")</f>
        <v/>
      </c>
      <c r="Q22" s="7">
        <f>IF(COUNTIF(Q2:Q19,"&lt;0"),AVERAGEIF(Q2:Q19,"&lt;0"),"—")</f>
        <v/>
      </c>
      <c r="R22" s="7">
        <f>IF(COUNTIF(R2:R19,"&lt;0"),AVERAGEIF(R2:R19,"&lt;0"),"—")</f>
        <v/>
      </c>
      <c r="S22" s="7">
        <f>IF(COUNTIF(S2:S19,"&lt;0"),AVERAGEIF(S2:S19,"&lt;0"),"—")</f>
        <v/>
      </c>
      <c r="T22" s="7">
        <f>IF(COUNTIF(T2:T19,"&lt;0"),AVERAGEIF(T2:T19,"&lt;0"),"—")</f>
        <v/>
      </c>
      <c r="U22" s="7">
        <f>IF(COUNTIF(U2:U19,"&lt;0"),AVERAGEIF(U2:U19,"&lt;0"),"—")</f>
        <v/>
      </c>
      <c r="V22" s="7">
        <f>IF(COUNTIF(V2:V19,"&lt;0"),AVERAGEIF(V2:V19,"&lt;0"),"—")</f>
        <v/>
      </c>
      <c r="W22" s="7">
        <f>IF(COUNTIF(W2:W19,"&lt;0"),AVERAGEIF(W2:W19,"&lt;0"),"—")</f>
        <v/>
      </c>
      <c r="X22" s="7">
        <f>IF(COUNTIF(X2:X19,"&lt;0"),AVERAGEIF(X2:X19,"&lt;0"),"—")</f>
        <v/>
      </c>
      <c r="Y22" s="7">
        <f>IF(COUNTIF(Y2:Y19,"&lt;0"),AVERAGEIF(Y2:Y19,"&lt;0"),"—")</f>
        <v/>
      </c>
      <c r="Z22" s="7">
        <f>IF(COUNTIF(Z2:Z19,"&lt;0"),AVERAGEIF(Z2:Z19,"&lt;0"),"—")</f>
        <v/>
      </c>
      <c r="AA22" s="7">
        <f>IF(COUNTIF(AA2:AA19,"&lt;0"),AVERAGEIF(AA2:AA19,"&lt;0"),"—")</f>
        <v/>
      </c>
      <c r="AB22" s="7">
        <f>IF(COUNTIF(AB2:AB19,"&lt;0"),AVERAGEIF(AB2:AB19,"&lt;0"),"—")</f>
        <v/>
      </c>
      <c r="AC22" s="7">
        <f>IF(COUNTIF(AC2:AC19,"&lt;0"),AVERAGEIF(AC2:AC19,"&lt;0"),"—")</f>
        <v/>
      </c>
      <c r="AD22" s="7">
        <f>IF(COUNTIF(AD2:AD19,"&lt;0"),AVERAGEIF(AD2:AD19,"&lt;0"),"—")</f>
        <v/>
      </c>
      <c r="AE22" s="7">
        <f>IF(COUNTIF(AE2:AE19,"&lt;0"),AVERAGEIF(AE2:AE19,"&lt;0"),"—")</f>
        <v/>
      </c>
    </row>
    <row r="23">
      <c r="A23" s="6" t="inlineStr">
        <is>
          <t>1 Av</t>
        </is>
      </c>
      <c r="B23" s="7">
        <f>IF(COUNTA(B2:B19),AVERAGE(B2:B19),"—")</f>
        <v/>
      </c>
      <c r="C23" s="7">
        <f>IF(COUNTA(C2:C19),AVERAGE(C2:C19),"—")</f>
        <v/>
      </c>
      <c r="D23" s="7">
        <f>IF(COUNTA(D2:D19),AVERAGE(D2:D19),"—")</f>
        <v/>
      </c>
      <c r="E23" s="7">
        <f>IF(COUNTA(E2:E19),AVERAGE(E2:E19),"—")</f>
        <v/>
      </c>
      <c r="F23" s="7">
        <f>IF(COUNTA(F2:F19),AVERAGE(F2:F19),"—")</f>
        <v/>
      </c>
      <c r="G23" s="7">
        <f>IF(COUNTA(G2:G19),AVERAGE(G2:G19),"—")</f>
        <v/>
      </c>
      <c r="H23" s="7">
        <f>IF(COUNTA(H2:H19),AVERAGE(H2:H19),"—")</f>
        <v/>
      </c>
      <c r="I23" s="7">
        <f>IF(COUNTA(I2:I19),AVERAGE(I2:I19),"—")</f>
        <v/>
      </c>
      <c r="J23" s="7">
        <f>IF(COUNTA(J2:J19),AVERAGE(J2:J19),"—")</f>
        <v/>
      </c>
      <c r="K23" s="7">
        <f>IF(COUNTA(K2:K19),AVERAGE(K2:K19),"—")</f>
        <v/>
      </c>
      <c r="L23" s="7">
        <f>IF(COUNTA(L2:L19),AVERAGE(L2:L19),"—")</f>
        <v/>
      </c>
      <c r="M23" s="7">
        <f>IF(COUNTA(M2:M19),AVERAGE(M2:M19),"—")</f>
        <v/>
      </c>
      <c r="N23" s="7">
        <f>IF(COUNTA(N2:N19),AVERAGE(N2:N19),"—")</f>
        <v/>
      </c>
      <c r="O23" s="7">
        <f>IF(COUNTA(O2:O19),AVERAGE(O2:O19),"—")</f>
        <v/>
      </c>
      <c r="P23" s="7">
        <f>IF(COUNTA(P2:P19),AVERAGE(P2:P19),"—")</f>
        <v/>
      </c>
      <c r="Q23" s="7">
        <f>IF(COUNTA(Q2:Q19),AVERAGE(Q2:Q19),"—")</f>
        <v/>
      </c>
      <c r="R23" s="7">
        <f>IF(COUNTA(R2:R19),AVERAGE(R2:R19),"—")</f>
        <v/>
      </c>
      <c r="S23" s="7">
        <f>IF(COUNTA(S2:S19),AVERAGE(S2:S19),"—")</f>
        <v/>
      </c>
      <c r="T23" s="7">
        <f>IF(COUNTA(T2:T19),AVERAGE(T2:T19),"—")</f>
        <v/>
      </c>
      <c r="U23" s="7">
        <f>IF(COUNTA(U2:U19),AVERAGE(U2:U19),"—")</f>
        <v/>
      </c>
      <c r="V23" s="7">
        <f>IF(COUNTA(V2:V19),AVERAGE(V2:V19),"—")</f>
        <v/>
      </c>
      <c r="W23" s="7">
        <f>IF(COUNTA(W2:W19),AVERAGE(W2:W19),"—")</f>
        <v/>
      </c>
      <c r="X23" s="7">
        <f>IF(COUNTA(X2:X19),AVERAGE(X2:X19),"—")</f>
        <v/>
      </c>
      <c r="Y23" s="7">
        <f>IF(COUNTA(Y2:Y19),AVERAGE(Y2:Y19),"—")</f>
        <v/>
      </c>
      <c r="Z23" s="7">
        <f>IF(COUNTA(Z2:Z19),AVERAGE(Z2:Z19),"—")</f>
        <v/>
      </c>
      <c r="AA23" s="7">
        <f>IF(COUNTA(AA2:AA19),AVERAGE(AA2:AA19),"—")</f>
        <v/>
      </c>
      <c r="AB23" s="7">
        <f>IF(COUNTA(AB2:AB19),AVERAGE(AB2:AB19),"—")</f>
        <v/>
      </c>
      <c r="AC23" s="7">
        <f>IF(COUNTA(AC2:AC19),AVERAGE(AC2:AC19),"—")</f>
        <v/>
      </c>
      <c r="AD23" s="7">
        <f>IF(COUNTA(AD2:AD19),AVERAGE(AD2:AD19),"—")</f>
        <v/>
      </c>
      <c r="AE23" s="7">
        <f>IF(COUNTA(AE2:AE19),AVERAGE(AE2:AE19),"—")</f>
        <v/>
      </c>
    </row>
    <row r="24">
      <c r="A24" s="6" t="inlineStr">
        <is>
          <t>Spread</t>
        </is>
      </c>
      <c r="B24" s="7">
        <f>IF(AND(ISNUMBER(B22),ISNUMBER(B23)),B22-B23,"—")</f>
        <v/>
      </c>
      <c r="C24" s="7">
        <f>IF(AND(ISNUMBER(C22),ISNUMBER(C23)),C22-C23,"—")</f>
        <v/>
      </c>
      <c r="D24" s="7">
        <f>IF(AND(ISNUMBER(D22),ISNUMBER(D23)),D22-D23,"—")</f>
        <v/>
      </c>
      <c r="E24" s="7">
        <f>IF(AND(ISNUMBER(E22),ISNUMBER(E23)),E22-E23,"—")</f>
        <v/>
      </c>
      <c r="F24" s="7">
        <f>IF(AND(ISNUMBER(F22),ISNUMBER(F23)),F22-F23,"—")</f>
        <v/>
      </c>
      <c r="G24" s="7">
        <f>IF(AND(ISNUMBER(G22),ISNUMBER(G23)),G22-G23,"—")</f>
        <v/>
      </c>
      <c r="H24" s="7">
        <f>IF(AND(ISNUMBER(H22),ISNUMBER(H23)),H22-H23,"—")</f>
        <v/>
      </c>
      <c r="I24" s="7">
        <f>IF(AND(ISNUMBER(I22),ISNUMBER(I23)),I22-I23,"—")</f>
        <v/>
      </c>
      <c r="J24" s="7">
        <f>IF(AND(ISNUMBER(J22),ISNUMBER(J23)),J22-J23,"—")</f>
        <v/>
      </c>
      <c r="K24" s="7">
        <f>IF(AND(ISNUMBER(K22),ISNUMBER(K23)),K22-K23,"—")</f>
        <v/>
      </c>
      <c r="L24" s="7">
        <f>IF(AND(ISNUMBER(L22),ISNUMBER(L23)),L22-L23,"—")</f>
        <v/>
      </c>
      <c r="M24" s="7">
        <f>IF(AND(ISNUMBER(M22),ISNUMBER(M23)),M22-M23,"—")</f>
        <v/>
      </c>
      <c r="N24" s="7">
        <f>IF(AND(ISNUMBER(N22),ISNUMBER(N23)),N22-N23,"—")</f>
        <v/>
      </c>
      <c r="O24" s="7">
        <f>IF(AND(ISNUMBER(O22),ISNUMBER(O23)),O22-O23,"—")</f>
        <v/>
      </c>
      <c r="P24" s="7">
        <f>IF(AND(ISNUMBER(P22),ISNUMBER(P23)),P22-P23,"—")</f>
        <v/>
      </c>
      <c r="Q24" s="7">
        <f>IF(AND(ISNUMBER(Q22),ISNUMBER(Q23)),Q22-Q23,"—")</f>
        <v/>
      </c>
      <c r="R24" s="7">
        <f>IF(AND(ISNUMBER(R22),ISNUMBER(R23)),R22-R23,"—")</f>
        <v/>
      </c>
      <c r="S24" s="7">
        <f>IF(AND(ISNUMBER(S22),ISNUMBER(S23)),S22-S23,"—")</f>
        <v/>
      </c>
      <c r="T24" s="7">
        <f>IF(AND(ISNUMBER(T22),ISNUMBER(T23)),T22-T23,"—")</f>
        <v/>
      </c>
      <c r="U24" s="7">
        <f>IF(AND(ISNUMBER(U22),ISNUMBER(U23)),U22-U23,"—")</f>
        <v/>
      </c>
      <c r="V24" s="7">
        <f>IF(AND(ISNUMBER(V22),ISNUMBER(V23)),V22-V23,"—")</f>
        <v/>
      </c>
      <c r="W24" s="7">
        <f>IF(AND(ISNUMBER(W22),ISNUMBER(W23)),W22-W23,"—")</f>
        <v/>
      </c>
      <c r="X24" s="7">
        <f>IF(AND(ISNUMBER(X22),ISNUMBER(X23)),X22-X23,"—")</f>
        <v/>
      </c>
      <c r="Y24" s="7">
        <f>IF(AND(ISNUMBER(Y22),ISNUMBER(Y23)),Y22-Y23,"—")</f>
        <v/>
      </c>
      <c r="Z24" s="7">
        <f>IF(AND(ISNUMBER(Z22),ISNUMBER(Z23)),Z22-Z23,"—")</f>
        <v/>
      </c>
      <c r="AA24" s="7">
        <f>IF(AND(ISNUMBER(AA22),ISNUMBER(AA23)),AA22-AA23,"—")</f>
        <v/>
      </c>
      <c r="AB24" s="7">
        <f>IF(AND(ISNUMBER(AB22),ISNUMBER(AB23)),AB22-AB23,"—")</f>
        <v/>
      </c>
      <c r="AC24" s="7">
        <f>IF(AND(ISNUMBER(AC22),ISNUMBER(AC23)),AC22-AC23,"—")</f>
        <v/>
      </c>
      <c r="AD24" s="7">
        <f>IF(AND(ISNUMBER(AD22),ISNUMBER(AD23)),AD22-AD23,"—")</f>
        <v/>
      </c>
      <c r="AE24" s="7">
        <f>IF(AND(ISNUMBER(AE22),ISNUMBER(AE23)),AE22-AE23,"—")</f>
        <v/>
      </c>
    </row>
    <row r="25">
      <c r="A25" s="6" t="inlineStr">
        <is>
          <t>% Pos</t>
        </is>
      </c>
      <c r="B25" s="8">
        <f>IF(COUNTA(B2:B19),COUNTIF(B2:B19,"&gt;0")/COUNTA(B2:B19),"—")</f>
        <v/>
      </c>
      <c r="C25" s="8">
        <f>IF(COUNTA(C2:C19),COUNTIF(C2:C19,"&gt;0")/COUNTA(C2:C19),"—")</f>
        <v/>
      </c>
      <c r="D25" s="8">
        <f>IF(COUNTA(D2:D19),COUNTIF(D2:D19,"&gt;0")/COUNTA(D2:D19),"—")</f>
        <v/>
      </c>
      <c r="E25" s="8">
        <f>IF(COUNTA(E2:E19),COUNTIF(E2:E19,"&gt;0")/COUNTA(E2:E19),"—")</f>
        <v/>
      </c>
      <c r="F25" s="8">
        <f>IF(COUNTA(F2:F19),COUNTIF(F2:F19,"&gt;0")/COUNTA(F2:F19),"—")</f>
        <v/>
      </c>
      <c r="G25" s="8">
        <f>IF(COUNTA(G2:G19),COUNTIF(G2:G19,"&gt;0")/COUNTA(G2:G19),"—")</f>
        <v/>
      </c>
      <c r="H25" s="8">
        <f>IF(COUNTA(H2:H19),COUNTIF(H2:H19,"&gt;0")/COUNTA(H2:H19),"—")</f>
        <v/>
      </c>
      <c r="I25" s="8">
        <f>IF(COUNTA(I2:I19),COUNTIF(I2:I19,"&gt;0")/COUNTA(I2:I19),"—")</f>
        <v/>
      </c>
      <c r="J25" s="8">
        <f>IF(COUNTA(J2:J19),COUNTIF(J2:J19,"&gt;0")/COUNTA(J2:J19),"—")</f>
        <v/>
      </c>
      <c r="K25" s="8">
        <f>IF(COUNTA(K2:K19),COUNTIF(K2:K19,"&gt;0")/COUNTA(K2:K19),"—")</f>
        <v/>
      </c>
      <c r="L25" s="8">
        <f>IF(COUNTA(L2:L19),COUNTIF(L2:L19,"&gt;0")/COUNTA(L2:L19),"—")</f>
        <v/>
      </c>
      <c r="M25" s="8">
        <f>IF(COUNTA(M2:M19),COUNTIF(M2:M19,"&gt;0")/COUNTA(M2:M19),"—")</f>
        <v/>
      </c>
      <c r="N25" s="8">
        <f>IF(COUNTA(N2:N19),COUNTIF(N2:N19,"&gt;0")/COUNTA(N2:N19),"—")</f>
        <v/>
      </c>
      <c r="O25" s="8">
        <f>IF(COUNTA(O2:O19),COUNTIF(O2:O19,"&gt;0")/COUNTA(O2:O19),"—")</f>
        <v/>
      </c>
      <c r="P25" s="8">
        <f>IF(COUNTA(P2:P19),COUNTIF(P2:P19,"&gt;0")/COUNTA(P2:P19),"—")</f>
        <v/>
      </c>
      <c r="Q25" s="8">
        <f>IF(COUNTA(Q2:Q19),COUNTIF(Q2:Q19,"&gt;0")/COUNTA(Q2:Q19),"—")</f>
        <v/>
      </c>
      <c r="R25" s="8">
        <f>IF(COUNTA(R2:R19),COUNTIF(R2:R19,"&gt;0")/COUNTA(R2:R19),"—")</f>
        <v/>
      </c>
      <c r="S25" s="8">
        <f>IF(COUNTA(S2:S19),COUNTIF(S2:S19,"&gt;0")/COUNTA(S2:S19),"—")</f>
        <v/>
      </c>
      <c r="T25" s="8">
        <f>IF(COUNTA(T2:T19),COUNTIF(T2:T19,"&gt;0")/COUNTA(T2:T19),"—")</f>
        <v/>
      </c>
      <c r="U25" s="8">
        <f>IF(COUNTA(U2:U19),COUNTIF(U2:U19,"&gt;0")/COUNTA(U2:U19),"—")</f>
        <v/>
      </c>
      <c r="V25" s="8">
        <f>IF(COUNTA(V2:V19),COUNTIF(V2:V19,"&gt;0")/COUNTA(V2:V19),"—")</f>
        <v/>
      </c>
      <c r="W25" s="8">
        <f>IF(COUNTA(W2:W19),COUNTIF(W2:W19,"&gt;0")/COUNTA(W2:W19),"—")</f>
        <v/>
      </c>
      <c r="X25" s="8">
        <f>IF(COUNTA(X2:X19),COUNTIF(X2:X19,"&gt;0")/COUNTA(X2:X19),"—")</f>
        <v/>
      </c>
      <c r="Y25" s="8">
        <f>IF(COUNTA(Y2:Y19),COUNTIF(Y2:Y19,"&gt;0")/COUNTA(Y2:Y19),"—")</f>
        <v/>
      </c>
      <c r="Z25" s="8">
        <f>IF(COUNTA(Z2:Z19),COUNTIF(Z2:Z19,"&gt;0")/COUNTA(Z2:Z19),"—")</f>
        <v/>
      </c>
      <c r="AA25" s="8">
        <f>IF(COUNTA(AA2:AA19),COUNTIF(AA2:AA19,"&gt;0")/COUNTA(AA2:AA19),"—")</f>
        <v/>
      </c>
      <c r="AB25" s="8">
        <f>IF(COUNTA(AB2:AB19),COUNTIF(AB2:AB19,"&gt;0")/COUNTA(AB2:AB19),"—")</f>
        <v/>
      </c>
      <c r="AC25" s="8">
        <f>IF(COUNTA(AC2:AC19),COUNTIF(AC2:AC19,"&gt;0")/COUNTA(AC2:AC19),"—")</f>
        <v/>
      </c>
      <c r="AD25" s="8">
        <f>IF(COUNTA(AD2:AD19),COUNTIF(AD2:AD19,"&gt;0")/COUNTA(AD2:AD19),"—")</f>
        <v/>
      </c>
      <c r="AE25" s="8">
        <f>IF(COUNTA(AE2:AE19),COUNTIF(AE2:AE19,"&gt;0")/COUNTA(AE2:AE19),"—")</f>
        <v/>
      </c>
    </row>
    <row r="26">
      <c r="A26" s="6" t="inlineStr">
        <is>
          <t>% Neg</t>
        </is>
      </c>
      <c r="B26" s="8">
        <f>IF(COUNTA(B2:B19),COUNTIF(B2:B19,"&lt;0")/COUNTA(B2:B19),"—")</f>
        <v/>
      </c>
      <c r="C26" s="8">
        <f>IF(COUNTA(C2:C19),COUNTIF(C2:C19,"&lt;0")/COUNTA(C2:C19),"—")</f>
        <v/>
      </c>
      <c r="D26" s="8">
        <f>IF(COUNTA(D2:D19),COUNTIF(D2:D19,"&lt;0")/COUNTA(D2:D19),"—")</f>
        <v/>
      </c>
      <c r="E26" s="8">
        <f>IF(COUNTA(E2:E19),COUNTIF(E2:E19,"&lt;0")/COUNTA(E2:E19),"—")</f>
        <v/>
      </c>
      <c r="F26" s="8">
        <f>IF(COUNTA(F2:F19),COUNTIF(F2:F19,"&lt;0")/COUNTA(F2:F19),"—")</f>
        <v/>
      </c>
      <c r="G26" s="8">
        <f>IF(COUNTA(G2:G19),COUNTIF(G2:G19,"&lt;0")/COUNTA(G2:G19),"—")</f>
        <v/>
      </c>
      <c r="H26" s="8">
        <f>IF(COUNTA(H2:H19),COUNTIF(H2:H19,"&lt;0")/COUNTA(H2:H19),"—")</f>
        <v/>
      </c>
      <c r="I26" s="8">
        <f>IF(COUNTA(I2:I19),COUNTIF(I2:I19,"&lt;0")/COUNTA(I2:I19),"—")</f>
        <v/>
      </c>
      <c r="J26" s="8">
        <f>IF(COUNTA(J2:J19),COUNTIF(J2:J19,"&lt;0")/COUNTA(J2:J19),"—")</f>
        <v/>
      </c>
      <c r="K26" s="8">
        <f>IF(COUNTA(K2:K19),COUNTIF(K2:K19,"&lt;0")/COUNTA(K2:K19),"—")</f>
        <v/>
      </c>
      <c r="L26" s="8">
        <f>IF(COUNTA(L2:L19),COUNTIF(L2:L19,"&lt;0")/COUNTA(L2:L19),"—")</f>
        <v/>
      </c>
      <c r="M26" s="8">
        <f>IF(COUNTA(M2:M19),COUNTIF(M2:M19,"&lt;0")/COUNTA(M2:M19),"—")</f>
        <v/>
      </c>
      <c r="N26" s="8">
        <f>IF(COUNTA(N2:N19),COUNTIF(N2:N19,"&lt;0")/COUNTA(N2:N19),"—")</f>
        <v/>
      </c>
      <c r="O26" s="8">
        <f>IF(COUNTA(O2:O19),COUNTIF(O2:O19,"&lt;0")/COUNTA(O2:O19),"—")</f>
        <v/>
      </c>
      <c r="P26" s="8">
        <f>IF(COUNTA(P2:P19),COUNTIF(P2:P19,"&lt;0")/COUNTA(P2:P19),"—")</f>
        <v/>
      </c>
      <c r="Q26" s="8">
        <f>IF(COUNTA(Q2:Q19),COUNTIF(Q2:Q19,"&lt;0")/COUNTA(Q2:Q19),"—")</f>
        <v/>
      </c>
      <c r="R26" s="8">
        <f>IF(COUNTA(R2:R19),COUNTIF(R2:R19,"&lt;0")/COUNTA(R2:R19),"—")</f>
        <v/>
      </c>
      <c r="S26" s="8">
        <f>IF(COUNTA(S2:S19),COUNTIF(S2:S19,"&lt;0")/COUNTA(S2:S19),"—")</f>
        <v/>
      </c>
      <c r="T26" s="8">
        <f>IF(COUNTA(T2:T19),COUNTIF(T2:T19,"&lt;0")/COUNTA(T2:T19),"—")</f>
        <v/>
      </c>
      <c r="U26" s="8">
        <f>IF(COUNTA(U2:U19),COUNTIF(U2:U19,"&lt;0")/COUNTA(U2:U19),"—")</f>
        <v/>
      </c>
      <c r="V26" s="8">
        <f>IF(COUNTA(V2:V19),COUNTIF(V2:V19,"&lt;0")/COUNTA(V2:V19),"—")</f>
        <v/>
      </c>
      <c r="W26" s="8">
        <f>IF(COUNTA(W2:W19),COUNTIF(W2:W19,"&lt;0")/COUNTA(W2:W19),"—")</f>
        <v/>
      </c>
      <c r="X26" s="8">
        <f>IF(COUNTA(X2:X19),COUNTIF(X2:X19,"&lt;0")/COUNTA(X2:X19),"—")</f>
        <v/>
      </c>
      <c r="Y26" s="8">
        <f>IF(COUNTA(Y2:Y19),COUNTIF(Y2:Y19,"&lt;0")/COUNTA(Y2:Y19),"—")</f>
        <v/>
      </c>
      <c r="Z26" s="8">
        <f>IF(COUNTA(Z2:Z19),COUNTIF(Z2:Z19,"&lt;0")/COUNTA(Z2:Z19),"—")</f>
        <v/>
      </c>
      <c r="AA26" s="8">
        <f>IF(COUNTA(AA2:AA19),COUNTIF(AA2:AA19,"&lt;0")/COUNTA(AA2:AA19),"—")</f>
        <v/>
      </c>
      <c r="AB26" s="8">
        <f>IF(COUNTA(AB2:AB19),COUNTIF(AB2:AB19,"&lt;0")/COUNTA(AB2:AB19),"—")</f>
        <v/>
      </c>
      <c r="AC26" s="8">
        <f>IF(COUNTA(AC2:AC19),COUNTIF(AC2:AC19,"&lt;0")/COUNTA(AC2:AC19),"—")</f>
        <v/>
      </c>
      <c r="AD26" s="8">
        <f>IF(COUNTA(AD2:AD19),COUNTIF(AD2:AD19,"&lt;0")/COUNTA(AD2:AD19),"—")</f>
        <v/>
      </c>
      <c r="AE26" s="8">
        <f>IF(COUNTA(AE2:AE19),COUNTIF(AE2:AE19,"&lt;0")/COUNTA(AE2:AE19),"—")</f>
        <v/>
      </c>
    </row>
    <row r="28">
      <c r="A28" s="6" t="inlineStr">
        <is>
          <t>Best Swing</t>
        </is>
      </c>
      <c r="B28" s="9" t="inlineStr">
        <is>
          <t>2025-08-05 09:45:34</t>
        </is>
      </c>
      <c r="C28" s="10" t="n">
        <v>69.37</v>
      </c>
      <c r="D28" s="10" t="n">
        <v>87.43000000000001</v>
      </c>
      <c r="E28" s="10" t="n">
        <v>1.26</v>
      </c>
      <c r="F28" s="10" t="n">
        <v>110.34</v>
      </c>
      <c r="G28" s="10" t="n">
        <v>115.87</v>
      </c>
      <c r="H28" s="10" t="n">
        <v>3.95</v>
      </c>
      <c r="I28" s="10" t="n">
        <v>-5.56</v>
      </c>
      <c r="J28" s="10" t="n">
        <v>3.2</v>
      </c>
      <c r="K28" s="10" t="n">
        <v>-0.68</v>
      </c>
      <c r="L28" s="10" t="n">
        <v>-3.88</v>
      </c>
      <c r="M28" s="10" t="n">
        <v>0.31</v>
      </c>
      <c r="N28" s="10" t="n">
        <v>-2.8</v>
      </c>
      <c r="O28" s="10" t="n">
        <v>33.77</v>
      </c>
      <c r="P28" s="10" t="n">
        <v>25.96</v>
      </c>
      <c r="Q28" s="10" t="n">
        <v>36.95</v>
      </c>
      <c r="R28" s="10" t="n">
        <v>6802.91</v>
      </c>
      <c r="S28" s="10" t="n">
        <v>-5.14</v>
      </c>
      <c r="T28" s="10" t="n">
        <v>-12.09</v>
      </c>
      <c r="U28" s="10" t="n">
        <v>-10.31</v>
      </c>
      <c r="V28" s="10" t="n">
        <v>-11.17</v>
      </c>
      <c r="W28" s="10" t="n">
        <v>71.28</v>
      </c>
      <c r="X28" s="10" t="n">
        <v>47.75</v>
      </c>
      <c r="Y28" s="10" t="n">
        <v>2.06</v>
      </c>
      <c r="Z28" s="10" t="n">
        <v>68.31</v>
      </c>
      <c r="AA28" s="10" t="n">
        <v>1.1</v>
      </c>
      <c r="AB28" s="10" t="n">
        <v>-5.44</v>
      </c>
      <c r="AC28" s="10" t="n">
        <v>2.52</v>
      </c>
      <c r="AD28" s="10" t="n">
        <v/>
      </c>
      <c r="AE28" s="10" t="n">
        <v>5</v>
      </c>
      <c r="AF28" s="10" t="n">
        <v>68.19</v>
      </c>
    </row>
  </sheetData>
  <autoFilter ref="A1:AE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4" customWidth="1" min="3" max="3"/>
    <col width="11.5" customWidth="1" min="4" max="4"/>
    <col width="11.5" customWidth="1" min="5" max="5"/>
    <col width="9.4" customWidth="1" min="6" max="6"/>
    <col width="9.4" customWidth="1" min="7" max="7"/>
    <col width="9.4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24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9.4" customWidth="1" min="21" max="21"/>
    <col width="11.5" customWidth="1" min="22" max="22"/>
    <col width="11.5" customWidth="1" min="23" max="23"/>
    <col width="11.5" customWidth="1" min="24" max="24"/>
    <col width="13.5" customWidth="1" min="25" max="25"/>
    <col width="23" customWidth="1" min="26" max="26"/>
    <col width="11.5" customWidth="1" min="27" max="27"/>
    <col width="9.4" customWidth="1" min="28" max="28"/>
    <col width="9.4" customWidth="1" min="29" max="29"/>
    <col width="11.5" customWidth="1" min="30" max="30"/>
    <col width="11.5" customWidth="1" min="31" max="31"/>
    <col width="14" customWidth="1" min="32" max="32"/>
    <col width="11.5" customWidth="1" min="33" max="33"/>
  </cols>
  <sheetData>
    <row r="1" ht="30" customHeight="1">
      <c r="A1" s="1" t="inlineStr">
        <is>
          <t>Club</t>
        </is>
      </c>
      <c r="B1" s="1" t="inlineStr">
        <is>
          <t>Id</t>
        </is>
      </c>
      <c r="C1" s="1" t="inlineStr">
        <is>
          <t>Time</t>
        </is>
      </c>
      <c r="D1" s="1" t="inlineStr">
        <is>
          <t>Club Speed (Mph)</t>
        </is>
      </c>
      <c r="E1" s="1" t="inlineStr">
        <is>
          <t>Ball Speed (Mph)</t>
        </is>
      </c>
      <c r="F1" s="1" t="inlineStr">
        <is>
          <t>Smash Factor</t>
        </is>
      </c>
      <c r="G1" s="1" t="inlineStr">
        <is>
          <t>Carry (Yds)</t>
        </is>
      </c>
      <c r="H1" s="1" t="inlineStr">
        <is>
          <t>Total (Yds)</t>
        </is>
      </c>
      <c r="I1" s="1" t="inlineStr">
        <is>
          <t>Impact Height (mm)</t>
        </is>
      </c>
      <c r="J1" s="1" t="inlineStr">
        <is>
          <t>Impact Offset (mm)</t>
        </is>
      </c>
      <c r="K1" s="1" t="inlineStr">
        <is>
          <t>Club Path (Deg)</t>
        </is>
      </c>
      <c r="L1" s="1" t="inlineStr">
        <is>
          <t>Face Angle (Deg)</t>
        </is>
      </c>
      <c r="M1" s="1" t="inlineStr">
        <is>
          <t>Face To Path (Deg)</t>
        </is>
      </c>
      <c r="N1" s="1" t="inlineStr">
        <is>
          <t>Launch Direction (Deg)</t>
        </is>
      </c>
      <c r="O1" s="1" t="inlineStr">
        <is>
          <t>Attack Angle (Deg)</t>
        </is>
      </c>
      <c r="P1" s="1" t="inlineStr">
        <is>
          <t>Dynamic Loft (Deg)</t>
        </is>
      </c>
      <c r="Q1" s="1" t="inlineStr">
        <is>
          <t>Launch Angle (Deg)</t>
        </is>
      </c>
      <c r="R1" s="1" t="inlineStr">
        <is>
          <t>Spin Loft (Deg)</t>
        </is>
      </c>
      <c r="S1" s="1" t="inlineStr">
        <is>
          <t>Spin Rate (Rpm)</t>
        </is>
      </c>
      <c r="T1" s="1" t="inlineStr">
        <is>
          <t>Spin Axis (Deg)</t>
        </is>
      </c>
      <c r="U1" s="1" t="inlineStr">
        <is>
          <t>Curve (Ft)</t>
        </is>
      </c>
      <c r="V1" s="1" t="inlineStr">
        <is>
          <t>Carry Side (Ft)</t>
        </is>
      </c>
      <c r="W1" s="1" t="inlineStr">
        <is>
          <t>Total Side (Ft)</t>
        </is>
      </c>
      <c r="X1" s="1" t="inlineStr">
        <is>
          <t>Max Height (Ft)</t>
        </is>
      </c>
      <c r="Y1" s="1" t="inlineStr">
        <is>
          <t>Landing Angle (Deg)</t>
        </is>
      </c>
      <c r="Z1" s="1" t="inlineStr">
        <is>
          <t>Swing Direction (Deg)</t>
        </is>
      </c>
      <c r="AA1" s="1" t="inlineStr">
        <is>
          <t>Swing Plane (Deg)</t>
        </is>
      </c>
      <c r="AB1" s="1" t="inlineStr">
        <is>
          <t>Swing Radius</t>
        </is>
      </c>
      <c r="AC1" s="1" t="inlineStr">
        <is>
          <t>DPlane Tilt</t>
        </is>
      </c>
      <c r="AD1" s="1" t="inlineStr">
        <is>
          <t>Low Point (In)</t>
        </is>
      </c>
      <c r="AE1" s="1" t="inlineStr">
        <is>
          <t>Landing Height</t>
        </is>
      </c>
      <c r="AF1" s="1" t="inlineStr">
        <is>
          <t>Hang Time (Sec)</t>
        </is>
      </c>
      <c r="AG1" s="1" t="inlineStr">
        <is>
          <t>Dynamic Lie (Deg)</t>
        </is>
      </c>
    </row>
    <row r="2">
      <c r="A2" s="2" t="inlineStr">
        <is>
          <t>5Wood</t>
        </is>
      </c>
      <c r="B2" s="2" t="inlineStr">
        <is>
          <t>1c435e6c-9525-463f-b108-67096afa77a4</t>
        </is>
      </c>
      <c r="C2" s="2" t="inlineStr">
        <is>
          <t>2025-08-05 10:15:17</t>
        </is>
      </c>
      <c r="D2" s="3" t="n">
        <v>83.79000000000001</v>
      </c>
      <c r="E2" s="3" t="n">
        <v>121.09</v>
      </c>
      <c r="F2" s="3" t="n">
        <v>1.45</v>
      </c>
      <c r="G2" s="3" t="n">
        <v>180.54</v>
      </c>
      <c r="H2" s="3" t="n">
        <v>193.79</v>
      </c>
      <c r="I2" s="3" t="n">
        <v>2.37</v>
      </c>
      <c r="J2" s="3" t="n">
        <v>2.99</v>
      </c>
      <c r="K2" s="3" t="n">
        <v>4.2</v>
      </c>
      <c r="L2" s="3" t="n">
        <v>3.57</v>
      </c>
      <c r="M2" s="3" t="n">
        <v>-0.63</v>
      </c>
      <c r="N2" s="3" t="n">
        <v>3.69</v>
      </c>
      <c r="O2" s="3" t="n">
        <v>0.6</v>
      </c>
      <c r="P2" s="3" t="n">
        <v>19.77</v>
      </c>
      <c r="Q2" s="3" t="n">
        <v>16.13</v>
      </c>
      <c r="R2" s="3" t="n">
        <v>19.24</v>
      </c>
      <c r="S2" s="3" t="n">
        <v>4368.42</v>
      </c>
      <c r="T2" s="3" t="n">
        <v>-2.22</v>
      </c>
      <c r="U2" s="3" t="n">
        <v>-10.09</v>
      </c>
      <c r="V2" s="3" t="n">
        <v>24.76</v>
      </c>
      <c r="W2" s="3" t="n">
        <v>26.03</v>
      </c>
      <c r="X2" s="3" t="n">
        <v>87.61</v>
      </c>
      <c r="Y2" s="3" t="n">
        <v>43.49</v>
      </c>
      <c r="Z2" s="3" t="n">
        <v>4.21</v>
      </c>
      <c r="AA2" s="3" t="n">
        <v>52.84</v>
      </c>
      <c r="AB2" s="3" t="n">
        <v>1.14</v>
      </c>
      <c r="AC2" s="3" t="n">
        <v>-1.72</v>
      </c>
      <c r="AD2" s="3" t="n">
        <v>-1.3</v>
      </c>
      <c r="AE2" s="3" t="n">
        <v/>
      </c>
      <c r="AF2" s="3" t="n">
        <v>6.06</v>
      </c>
      <c r="AG2" s="3" t="n">
        <v>61.43</v>
      </c>
    </row>
    <row r="3">
      <c r="A3" s="4" t="inlineStr">
        <is>
          <t>5Wood</t>
        </is>
      </c>
      <c r="B3" s="4" t="inlineStr">
        <is>
          <t>e0d777bd-044f-4bf4-919e-d606ce6b914e</t>
        </is>
      </c>
      <c r="C3" s="4" t="inlineStr">
        <is>
          <t>2025-08-05 10:15:44</t>
        </is>
      </c>
      <c r="D3" s="5" t="n">
        <v>84</v>
      </c>
      <c r="E3" s="5" t="n">
        <v>120.22</v>
      </c>
      <c r="F3" s="5" t="n">
        <v>1.43</v>
      </c>
      <c r="G3" s="5" t="n">
        <v>116.15</v>
      </c>
      <c r="H3" s="5" t="n">
        <v>160.28</v>
      </c>
      <c r="I3" s="5" t="n">
        <v/>
      </c>
      <c r="J3" s="5" t="n">
        <v/>
      </c>
      <c r="K3" s="5" t="n">
        <v>5.7</v>
      </c>
      <c r="L3" s="5" t="n">
        <v>-8.300000000000001</v>
      </c>
      <c r="M3" s="5" t="n">
        <v>-14</v>
      </c>
      <c r="N3" s="5" t="n">
        <v>-5.25</v>
      </c>
      <c r="O3" s="5" t="n">
        <v>4.3</v>
      </c>
      <c r="P3" s="5" t="n">
        <v>9.029999999999999</v>
      </c>
      <c r="Q3" s="5" t="n">
        <v>8.029999999999999</v>
      </c>
      <c r="R3" s="5" t="n">
        <v>14.61</v>
      </c>
      <c r="S3" s="5" t="n">
        <v>3785.47</v>
      </c>
      <c r="T3" s="5" t="n">
        <v>-55.44</v>
      </c>
      <c r="U3" s="5" t="n">
        <v>-73.25</v>
      </c>
      <c r="V3" s="5" t="n">
        <v>-104.14</v>
      </c>
      <c r="W3" s="5" t="n">
        <v>-173.27</v>
      </c>
      <c r="X3" s="5" t="n">
        <v>17.5</v>
      </c>
      <c r="Y3" s="5" t="n">
        <v>14.84</v>
      </c>
      <c r="Z3" s="5" t="n">
        <v>7.58</v>
      </c>
      <c r="AA3" s="5" t="n">
        <v>65.13</v>
      </c>
      <c r="AB3" s="5" t="n">
        <v>1.47</v>
      </c>
      <c r="AC3" s="5" t="n">
        <v>-69.77</v>
      </c>
      <c r="AD3" s="5" t="n">
        <v>-4.69</v>
      </c>
      <c r="AE3" s="5" t="n">
        <v/>
      </c>
      <c r="AF3" s="5" t="n">
        <v>2.73</v>
      </c>
      <c r="AG3" s="5" t="n">
        <v/>
      </c>
    </row>
    <row r="4">
      <c r="A4" s="2" t="inlineStr">
        <is>
          <t>5Wood</t>
        </is>
      </c>
      <c r="B4" s="2" t="inlineStr">
        <is>
          <t>51265670-1f19-4d56-84a5-257f2222823d</t>
        </is>
      </c>
      <c r="C4" s="2" t="inlineStr">
        <is>
          <t>2025-08-05 10:16:05</t>
        </is>
      </c>
      <c r="D4" s="3" t="n">
        <v>84.59</v>
      </c>
      <c r="E4" s="3" t="n">
        <v>121.72</v>
      </c>
      <c r="F4" s="3" t="n">
        <v>1.44</v>
      </c>
      <c r="G4" s="3" t="n">
        <v>179.9</v>
      </c>
      <c r="H4" s="3" t="n">
        <v>196.01</v>
      </c>
      <c r="I4" s="3" t="n">
        <v>-7.2</v>
      </c>
      <c r="J4" s="3" t="n">
        <v>-0.45</v>
      </c>
      <c r="K4" s="3" t="n">
        <v>3</v>
      </c>
      <c r="L4" s="3" t="n">
        <v>-0.33</v>
      </c>
      <c r="M4" s="3" t="n">
        <v>-3.33</v>
      </c>
      <c r="N4" s="3" t="n">
        <v>0.33</v>
      </c>
      <c r="O4" s="3" t="n">
        <v>-1</v>
      </c>
      <c r="P4" s="3" t="n">
        <v>17.14</v>
      </c>
      <c r="Q4" s="3" t="n">
        <v>13.67</v>
      </c>
      <c r="R4" s="3" t="n">
        <v>18.59</v>
      </c>
      <c r="S4" s="3" t="n">
        <v>4268.6</v>
      </c>
      <c r="T4" s="3" t="n">
        <v>-8.19</v>
      </c>
      <c r="U4" s="3" t="n">
        <v>-35.52</v>
      </c>
      <c r="V4" s="3" t="n">
        <v>-32.46</v>
      </c>
      <c r="W4" s="3" t="n">
        <v>-38.01</v>
      </c>
      <c r="X4" s="3" t="n">
        <v>73.58</v>
      </c>
      <c r="Y4" s="3" t="n">
        <v>39.23</v>
      </c>
      <c r="Z4" s="3" t="n">
        <v>1.74</v>
      </c>
      <c r="AA4" s="3" t="n">
        <v>52.08</v>
      </c>
      <c r="AB4" s="3" t="n">
        <v>1.29</v>
      </c>
      <c r="AC4" s="3" t="n">
        <v>-9.93</v>
      </c>
      <c r="AD4" s="3" t="n">
        <v>0.59</v>
      </c>
      <c r="AE4" s="3" t="n">
        <v/>
      </c>
      <c r="AF4" s="3" t="n">
        <v>5.72</v>
      </c>
      <c r="AG4" s="3" t="n">
        <v>53.81</v>
      </c>
    </row>
    <row r="5">
      <c r="A5" s="4" t="inlineStr">
        <is>
          <t>5Wood</t>
        </is>
      </c>
      <c r="B5" s="4" t="inlineStr">
        <is>
          <t>c6906aae-bb78-4ae1-ba8f-7b0949797711</t>
        </is>
      </c>
      <c r="C5" s="4" t="inlineStr">
        <is>
          <t>2025-08-05 10:16:29</t>
        </is>
      </c>
      <c r="D5" s="5" t="n">
        <v>83.81999999999999</v>
      </c>
      <c r="E5" s="5" t="n">
        <v>119.96</v>
      </c>
      <c r="F5" s="5" t="n">
        <v>1.43</v>
      </c>
      <c r="G5" s="5" t="n">
        <v>175.02</v>
      </c>
      <c r="H5" s="5" t="n">
        <v>189.32</v>
      </c>
      <c r="I5" s="5" t="n">
        <v/>
      </c>
      <c r="J5" s="5" t="n">
        <v/>
      </c>
      <c r="K5" s="5" t="n">
        <v>3.5</v>
      </c>
      <c r="L5" s="5" t="n">
        <v>-0.18</v>
      </c>
      <c r="M5" s="5" t="n">
        <v>-3.68</v>
      </c>
      <c r="N5" s="5" t="n">
        <v>0.57</v>
      </c>
      <c r="O5" s="5" t="n">
        <v>-1.1</v>
      </c>
      <c r="P5" s="5" t="n">
        <v>18.17</v>
      </c>
      <c r="Q5" s="5" t="n">
        <v>14.35</v>
      </c>
      <c r="R5" s="5" t="n">
        <v>19.6</v>
      </c>
      <c r="S5" s="5" t="n">
        <v>4634.11</v>
      </c>
      <c r="T5" s="5" t="n">
        <v>-8.94</v>
      </c>
      <c r="U5" s="5" t="n">
        <v>-38.56</v>
      </c>
      <c r="V5" s="5" t="n">
        <v>-33.32</v>
      </c>
      <c r="W5" s="5" t="n">
        <v>-38.59</v>
      </c>
      <c r="X5" s="5" t="n">
        <v>75.73</v>
      </c>
      <c r="Y5" s="5" t="n">
        <v>40.65</v>
      </c>
      <c r="Z5" s="5" t="n">
        <v>2.66</v>
      </c>
      <c r="AA5" s="5" t="n">
        <v>54.6</v>
      </c>
      <c r="AB5" s="5" t="n">
        <v>1.43</v>
      </c>
      <c r="AC5" s="5" t="n">
        <v>-10.32</v>
      </c>
      <c r="AD5" s="5" t="n">
        <v>1.34</v>
      </c>
      <c r="AE5" s="5" t="n">
        <v/>
      </c>
      <c r="AF5" s="5" t="n">
        <v>5.75</v>
      </c>
      <c r="AG5" s="5" t="n">
        <v/>
      </c>
    </row>
    <row r="6">
      <c r="A6" s="2" t="inlineStr">
        <is>
          <t>5Wood</t>
        </is>
      </c>
      <c r="B6" s="2" t="inlineStr">
        <is>
          <t>bfcef749-e1b0-4cd6-9e4c-e11cd18ef627</t>
        </is>
      </c>
      <c r="C6" s="2" t="inlineStr">
        <is>
          <t>2025-08-05 10:17:00</t>
        </is>
      </c>
      <c r="D6" s="3" t="n">
        <v>84.48999999999999</v>
      </c>
      <c r="E6" s="3" t="n">
        <v>107.88</v>
      </c>
      <c r="F6" s="3" t="n">
        <v>1.28</v>
      </c>
      <c r="G6" s="3" t="n">
        <v>159.38</v>
      </c>
      <c r="H6" s="3" t="n">
        <v>180.7</v>
      </c>
      <c r="I6" s="3" t="n">
        <v/>
      </c>
      <c r="J6" s="3" t="n">
        <v/>
      </c>
      <c r="K6" s="3" t="n">
        <v>7.3</v>
      </c>
      <c r="L6" s="3" t="n">
        <v>5.33</v>
      </c>
      <c r="M6" s="3" t="n">
        <v>-1.97</v>
      </c>
      <c r="N6" s="3" t="n">
        <v>5.65</v>
      </c>
      <c r="O6" s="3" t="n">
        <v>1.9</v>
      </c>
      <c r="P6" s="3" t="n">
        <v>19.8</v>
      </c>
      <c r="Q6" s="3" t="n">
        <v>16.93</v>
      </c>
      <c r="R6" s="3" t="n">
        <v>17.95</v>
      </c>
      <c r="S6" s="3" t="n">
        <v>3084.79</v>
      </c>
      <c r="T6" s="3" t="n">
        <v>-4.63</v>
      </c>
      <c r="U6" s="3" t="n">
        <v>-13.73</v>
      </c>
      <c r="V6" s="3" t="n">
        <v>33.39</v>
      </c>
      <c r="W6" s="3" t="n">
        <v>36.29</v>
      </c>
      <c r="X6" s="3" t="n">
        <v>62.38</v>
      </c>
      <c r="Y6" s="3" t="n">
        <v>35.51</v>
      </c>
      <c r="Z6" s="3" t="n">
        <v>8.06</v>
      </c>
      <c r="AA6" s="3" t="n">
        <v>66.64</v>
      </c>
      <c r="AB6" s="3" t="n">
        <v>1.43</v>
      </c>
      <c r="AC6" s="3" t="n">
        <v>-5.79</v>
      </c>
      <c r="AD6" s="3" t="n">
        <v>-2.05</v>
      </c>
      <c r="AE6" s="3" t="n">
        <v/>
      </c>
      <c r="AF6" s="3" t="n">
        <v>5.09</v>
      </c>
      <c r="AG6" s="3" t="n">
        <v/>
      </c>
    </row>
    <row r="7">
      <c r="A7" s="4" t="inlineStr">
        <is>
          <t>5Wood</t>
        </is>
      </c>
      <c r="B7" s="4" t="inlineStr">
        <is>
          <t>207681ce-04eb-4e25-b82f-02d7c3112eb9</t>
        </is>
      </c>
      <c r="C7" s="4" t="inlineStr">
        <is>
          <t>2025-08-05 10:17:17</t>
        </is>
      </c>
      <c r="D7" s="5" t="n">
        <v>84.23</v>
      </c>
      <c r="E7" s="5" t="n">
        <v>120.85</v>
      </c>
      <c r="F7" s="5" t="n">
        <v>1.43</v>
      </c>
      <c r="G7" s="5" t="n">
        <v>181.06</v>
      </c>
      <c r="H7" s="5" t="n">
        <v>195.01</v>
      </c>
      <c r="I7" s="5" t="n">
        <v>-0.64</v>
      </c>
      <c r="J7" s="5" t="n">
        <v>1.82</v>
      </c>
      <c r="K7" s="5" t="n">
        <v>4.2</v>
      </c>
      <c r="L7" s="5" t="n">
        <v>4.52</v>
      </c>
      <c r="M7" s="5" t="n">
        <v>0.32</v>
      </c>
      <c r="N7" s="5" t="n">
        <v>4.47</v>
      </c>
      <c r="O7" s="5" t="n">
        <v>0</v>
      </c>
      <c r="P7" s="5" t="n">
        <v>19.58</v>
      </c>
      <c r="Q7" s="5" t="n">
        <v>16.07</v>
      </c>
      <c r="R7" s="5" t="n">
        <v>19.7</v>
      </c>
      <c r="S7" s="5" t="n">
        <v>4215.28</v>
      </c>
      <c r="T7" s="5" t="n">
        <v>0.31</v>
      </c>
      <c r="U7" s="5" t="n">
        <v>1.38</v>
      </c>
      <c r="V7" s="5" t="n">
        <v>43.69</v>
      </c>
      <c r="W7" s="5" t="n">
        <v>47.14</v>
      </c>
      <c r="X7" s="5" t="n">
        <v>86.22</v>
      </c>
      <c r="Y7" s="5" t="n">
        <v>42.9</v>
      </c>
      <c r="Z7" s="5" t="n">
        <v>3.78</v>
      </c>
      <c r="AA7" s="5" t="n">
        <v>50.1</v>
      </c>
      <c r="AB7" s="5" t="n">
        <v>1.16</v>
      </c>
      <c r="AC7" s="5" t="n">
        <v>0.73</v>
      </c>
      <c r="AD7" s="5" t="n">
        <v>-0.63</v>
      </c>
      <c r="AE7" s="5" t="n">
        <v/>
      </c>
      <c r="AF7" s="5" t="n">
        <v>6.02</v>
      </c>
      <c r="AG7" s="5" t="n">
        <v>58.55</v>
      </c>
    </row>
    <row r="8">
      <c r="A8" s="2" t="inlineStr">
        <is>
          <t>5Wood</t>
        </is>
      </c>
      <c r="B8" s="2" t="inlineStr">
        <is>
          <t>0ae90b54-bf16-4496-8340-6073f04276d8</t>
        </is>
      </c>
      <c r="C8" s="2" t="inlineStr">
        <is>
          <t>2025-08-05 10:18:18</t>
        </is>
      </c>
      <c r="D8" s="3" t="n">
        <v>84.8</v>
      </c>
      <c r="E8" s="3" t="n">
        <v>119.14</v>
      </c>
      <c r="F8" s="3" t="n">
        <v>1.41</v>
      </c>
      <c r="G8" s="3" t="n">
        <v>181.29</v>
      </c>
      <c r="H8" s="3" t="n">
        <v>200.73</v>
      </c>
      <c r="I8" s="3" t="n">
        <v>4.39</v>
      </c>
      <c r="J8" s="3" t="n">
        <v>-0.04</v>
      </c>
      <c r="K8" s="3" t="n">
        <v>5.8</v>
      </c>
      <c r="L8" s="3" t="n">
        <v>2.68</v>
      </c>
      <c r="M8" s="3" t="n">
        <v>-3.12</v>
      </c>
      <c r="N8" s="3" t="n">
        <v>3.2</v>
      </c>
      <c r="O8" s="3" t="n">
        <v>0.2</v>
      </c>
      <c r="P8" s="3" t="n">
        <v>18.28</v>
      </c>
      <c r="Q8" s="3" t="n">
        <v>15.47</v>
      </c>
      <c r="R8" s="3" t="n">
        <v>18.38</v>
      </c>
      <c r="S8" s="3" t="n">
        <v>3367.41</v>
      </c>
      <c r="T8" s="3" t="n">
        <v>-8.84</v>
      </c>
      <c r="U8" s="3" t="n">
        <v>-34.46</v>
      </c>
      <c r="V8" s="3" t="n">
        <v>-4.11</v>
      </c>
      <c r="W8" s="3" t="n">
        <v>-7.7</v>
      </c>
      <c r="X8" s="3" t="n">
        <v>73.39</v>
      </c>
      <c r="Y8" s="3" t="n">
        <v>37.82</v>
      </c>
      <c r="Z8" s="3" t="n">
        <v>5.64</v>
      </c>
      <c r="AA8" s="3" t="n">
        <v>58.8</v>
      </c>
      <c r="AB8" s="3" t="n">
        <v>1.18</v>
      </c>
      <c r="AC8" s="3" t="n">
        <v>-9.65</v>
      </c>
      <c r="AD8" s="3" t="n">
        <v>-0.9399999999999999</v>
      </c>
      <c r="AE8" s="3" t="n">
        <v/>
      </c>
      <c r="AF8" s="3" t="n">
        <v>5.62</v>
      </c>
      <c r="AG8" s="3" t="n">
        <v>57.86</v>
      </c>
    </row>
    <row r="9">
      <c r="A9" s="4" t="inlineStr">
        <is>
          <t>5Wood</t>
        </is>
      </c>
      <c r="B9" s="4" t="inlineStr">
        <is>
          <t>17e0d8d6-f070-442a-b12b-21b6fa9d9b26</t>
        </is>
      </c>
      <c r="C9" s="4" t="inlineStr">
        <is>
          <t>2025-08-05 10:18:38</t>
        </is>
      </c>
      <c r="D9" s="5" t="n">
        <v>86.17</v>
      </c>
      <c r="E9" s="5" t="n">
        <v>122.54</v>
      </c>
      <c r="F9" s="5" t="n">
        <v>1.42</v>
      </c>
      <c r="G9" s="5" t="n">
        <v>186.57</v>
      </c>
      <c r="H9" s="5" t="n">
        <v>207.4</v>
      </c>
      <c r="I9" s="5" t="n">
        <v/>
      </c>
      <c r="J9" s="5" t="n">
        <v/>
      </c>
      <c r="K9" s="5" t="n">
        <v>2.5</v>
      </c>
      <c r="L9" s="5" t="n">
        <v>-2.84</v>
      </c>
      <c r="M9" s="5" t="n">
        <v>-5.34</v>
      </c>
      <c r="N9" s="5" t="n">
        <v>-2.05</v>
      </c>
      <c r="O9" s="5" t="n">
        <v>-1.5</v>
      </c>
      <c r="P9" s="5" t="n">
        <v>16.92</v>
      </c>
      <c r="Q9" s="5" t="n">
        <v>14.3</v>
      </c>
      <c r="R9" s="5" t="n">
        <v>19.2</v>
      </c>
      <c r="S9" s="5" t="n">
        <v>3315.44</v>
      </c>
      <c r="T9" s="5" t="n">
        <v>-12.42</v>
      </c>
      <c r="U9" s="5" t="n">
        <v>-49.62</v>
      </c>
      <c r="V9" s="5" t="n">
        <v>-69.55</v>
      </c>
      <c r="W9" s="5" t="n">
        <v>-82.20999999999999</v>
      </c>
      <c r="X9" s="5" t="n">
        <v>70.48999999999999</v>
      </c>
      <c r="Y9" s="5" t="n">
        <v>36.32</v>
      </c>
      <c r="Z9" s="5" t="n">
        <v>1.58</v>
      </c>
      <c r="AA9" s="5" t="n">
        <v>61.34</v>
      </c>
      <c r="AB9" s="5" t="n">
        <v>1.4</v>
      </c>
      <c r="AC9" s="5" t="n">
        <v>-15.5</v>
      </c>
      <c r="AD9" s="5" t="n">
        <v>1.69</v>
      </c>
      <c r="AE9" s="5" t="n">
        <v/>
      </c>
      <c r="AF9" s="5" t="n">
        <v>5.59</v>
      </c>
      <c r="AG9" s="5" t="n">
        <v/>
      </c>
    </row>
    <row r="10">
      <c r="A10" s="2" t="inlineStr">
        <is>
          <t>5Wood</t>
        </is>
      </c>
      <c r="B10" s="2" t="inlineStr">
        <is>
          <t>db8f4c6c-836c-4d0b-9ea2-3ee426fc5b7c</t>
        </is>
      </c>
      <c r="C10" s="2" t="inlineStr">
        <is>
          <t>2025-08-05 10:18:59</t>
        </is>
      </c>
      <c r="D10" s="3" t="n">
        <v>86.13</v>
      </c>
      <c r="E10" s="3" t="n">
        <v>123.3</v>
      </c>
      <c r="F10" s="3" t="n">
        <v>1.43</v>
      </c>
      <c r="G10" s="3" t="n">
        <v>183.91</v>
      </c>
      <c r="H10" s="3" t="n">
        <v>198.67</v>
      </c>
      <c r="I10" s="3" t="n">
        <v>-1.9</v>
      </c>
      <c r="J10" s="3" t="n">
        <v>-11.38</v>
      </c>
      <c r="K10" s="3" t="n">
        <v>0</v>
      </c>
      <c r="L10" s="3" t="n">
        <v>-1.8</v>
      </c>
      <c r="M10" s="3" t="n">
        <v>-1.8</v>
      </c>
      <c r="N10" s="3" t="n">
        <v>-1.5</v>
      </c>
      <c r="O10" s="3" t="n">
        <v>-2.6</v>
      </c>
      <c r="P10" s="3" t="n">
        <v>17.73</v>
      </c>
      <c r="Q10" s="3" t="n">
        <v>14.21</v>
      </c>
      <c r="R10" s="3" t="n">
        <v>20.41</v>
      </c>
      <c r="S10" s="3" t="n">
        <v>4327.14</v>
      </c>
      <c r="T10" s="3" t="n">
        <v>-0.52</v>
      </c>
      <c r="U10" s="3" t="n">
        <v>-2.39</v>
      </c>
      <c r="V10" s="3" t="n">
        <v>-16.85</v>
      </c>
      <c r="W10" s="3" t="n">
        <v>-18.36</v>
      </c>
      <c r="X10" s="3" t="n">
        <v>80.59999999999999</v>
      </c>
      <c r="Y10" s="3" t="n">
        <v>41.26</v>
      </c>
      <c r="Z10" s="3" t="n">
        <v>-2.65</v>
      </c>
      <c r="AA10" s="3" t="n">
        <v>50.58</v>
      </c>
      <c r="AB10" s="3" t="n">
        <v>1.29</v>
      </c>
      <c r="AC10" s="3" t="n">
        <v>-4.49</v>
      </c>
      <c r="AD10" s="3" t="n">
        <v>2.32</v>
      </c>
      <c r="AE10" s="3" t="n">
        <v/>
      </c>
      <c r="AF10" s="3" t="n">
        <v>5.94</v>
      </c>
      <c r="AG10" s="3" t="n">
        <v>58.24</v>
      </c>
    </row>
    <row r="11">
      <c r="A11" s="4" t="inlineStr">
        <is>
          <t>5Wood</t>
        </is>
      </c>
      <c r="B11" s="4" t="inlineStr">
        <is>
          <t>7fb7f47c-e1c3-4c6e-95dd-35326bc83e21</t>
        </is>
      </c>
      <c r="C11" s="4" t="inlineStr">
        <is>
          <t>2025-08-05 10:19:23</t>
        </is>
      </c>
      <c r="D11" s="5" t="n">
        <v>85.56</v>
      </c>
      <c r="E11" s="5" t="n">
        <v>123.05</v>
      </c>
      <c r="F11" s="5" t="n">
        <v>1.44</v>
      </c>
      <c r="G11" s="5" t="n">
        <v>184.81</v>
      </c>
      <c r="H11" s="5" t="n">
        <v>199.42</v>
      </c>
      <c r="I11" s="5" t="n">
        <v>4.29</v>
      </c>
      <c r="J11" s="5" t="n">
        <v>-4.57</v>
      </c>
      <c r="K11" s="5" t="n">
        <v>2.1</v>
      </c>
      <c r="L11" s="5" t="n">
        <v>1.28</v>
      </c>
      <c r="M11" s="5" t="n">
        <v>-0.82</v>
      </c>
      <c r="N11" s="5" t="n">
        <v>1.41</v>
      </c>
      <c r="O11" s="5" t="n">
        <v>-1.7</v>
      </c>
      <c r="P11" s="5" t="n">
        <v>18.41</v>
      </c>
      <c r="Q11" s="5" t="n">
        <v>14.98</v>
      </c>
      <c r="R11" s="5" t="n">
        <v>20.32</v>
      </c>
      <c r="S11" s="5" t="n">
        <v>4201</v>
      </c>
      <c r="T11" s="5" t="n">
        <v>-0.92</v>
      </c>
      <c r="U11" s="5" t="n">
        <v>-4.22</v>
      </c>
      <c r="V11" s="5" t="n">
        <v>9.44</v>
      </c>
      <c r="W11" s="5" t="n">
        <v>9.92</v>
      </c>
      <c r="X11" s="5" t="n">
        <v>83.91</v>
      </c>
      <c r="Y11" s="5" t="n">
        <v>41.98</v>
      </c>
      <c r="Z11" s="5" t="n">
        <v>0.75</v>
      </c>
      <c r="AA11" s="5" t="n">
        <v>55.98</v>
      </c>
      <c r="AB11" s="5" t="n">
        <v>1.44</v>
      </c>
      <c r="AC11" s="5" t="n">
        <v>-2.06</v>
      </c>
      <c r="AD11" s="5" t="n">
        <v>2.24</v>
      </c>
      <c r="AE11" s="5" t="n">
        <v/>
      </c>
      <c r="AF11" s="5" t="n">
        <v>6.01</v>
      </c>
      <c r="AG11" s="5" t="n">
        <v>59.27</v>
      </c>
    </row>
    <row r="12">
      <c r="A12" s="2" t="inlineStr">
        <is>
          <t>5Wood</t>
        </is>
      </c>
      <c r="B12" s="2" t="inlineStr">
        <is>
          <t>410364e9-b026-44ef-9f15-6003d59a3462</t>
        </is>
      </c>
      <c r="C12" s="2" t="inlineStr">
        <is>
          <t>2025-08-05 10:19:45</t>
        </is>
      </c>
      <c r="D12" s="3" t="n">
        <v>85.89</v>
      </c>
      <c r="E12" s="3" t="n">
        <v>122.05</v>
      </c>
      <c r="F12" s="3" t="n">
        <v>1.42</v>
      </c>
      <c r="G12" s="3" t="n">
        <v>182.85</v>
      </c>
      <c r="H12" s="3" t="n">
        <v>196.75</v>
      </c>
      <c r="I12" s="3" t="n">
        <v>-0.08</v>
      </c>
      <c r="J12" s="3" t="n">
        <v>-13.99</v>
      </c>
      <c r="K12" s="3" t="n">
        <v>1.5</v>
      </c>
      <c r="L12" s="3" t="n">
        <v>-1.7</v>
      </c>
      <c r="M12" s="3" t="n">
        <v>-3.2</v>
      </c>
      <c r="N12" s="3" t="n">
        <v>-1.16</v>
      </c>
      <c r="O12" s="3" t="n">
        <v>-2.5</v>
      </c>
      <c r="P12" s="3" t="n">
        <v>19.19</v>
      </c>
      <c r="Q12" s="3" t="n">
        <v>15.71</v>
      </c>
      <c r="R12" s="3" t="n">
        <v>21.93</v>
      </c>
      <c r="S12" s="3" t="n">
        <v>4261.28</v>
      </c>
      <c r="T12" s="3" t="n">
        <v>-3.22</v>
      </c>
      <c r="U12" s="3" t="n">
        <v>-14.73</v>
      </c>
      <c r="V12" s="3" t="n">
        <v>-25.85</v>
      </c>
      <c r="W12" s="3" t="n">
        <v>-28.66</v>
      </c>
      <c r="X12" s="3" t="n">
        <v>86.42</v>
      </c>
      <c r="Y12" s="3" t="n">
        <v>42.86</v>
      </c>
      <c r="Z12" s="3" t="n">
        <v>-0.23</v>
      </c>
      <c r="AA12" s="3" t="n">
        <v>56.6</v>
      </c>
      <c r="AB12" s="3" t="n">
        <v>1.4</v>
      </c>
      <c r="AC12" s="3" t="n">
        <v>-7.96</v>
      </c>
      <c r="AD12" s="3" t="n">
        <v>2.91</v>
      </c>
      <c r="AE12" s="3" t="n">
        <v/>
      </c>
      <c r="AF12" s="3" t="n">
        <v>6.05</v>
      </c>
      <c r="AG12" s="3" t="n">
        <v>61.57</v>
      </c>
    </row>
    <row r="13">
      <c r="A13" s="4" t="inlineStr">
        <is>
          <t>5Wood</t>
        </is>
      </c>
      <c r="B13" s="4" t="inlineStr">
        <is>
          <t>8fdc187e-8343-419e-a042-e7600c93dabc</t>
        </is>
      </c>
      <c r="C13" s="4" t="inlineStr">
        <is>
          <t>2025-08-05 10:20:06</t>
        </is>
      </c>
      <c r="D13" s="5" t="n">
        <v>85.43000000000001</v>
      </c>
      <c r="E13" s="5" t="n">
        <v>116.29</v>
      </c>
      <c r="F13" s="5" t="n">
        <v>1.36</v>
      </c>
      <c r="G13" s="5" t="n">
        <v>177.39</v>
      </c>
      <c r="H13" s="5" t="n">
        <v>199.85</v>
      </c>
      <c r="I13" s="5" t="n">
        <v>3.25</v>
      </c>
      <c r="J13" s="5" t="n">
        <v>-11.65</v>
      </c>
      <c r="K13" s="5" t="n">
        <v>3</v>
      </c>
      <c r="L13" s="5" t="n">
        <v>-0.82</v>
      </c>
      <c r="M13" s="5" t="n">
        <v>-3.82</v>
      </c>
      <c r="N13" s="5" t="n">
        <v>-0.28</v>
      </c>
      <c r="O13" s="5" t="n">
        <v>-0.2</v>
      </c>
      <c r="P13" s="5" t="n">
        <v>18.27</v>
      </c>
      <c r="Q13" s="5" t="n">
        <v>15.79</v>
      </c>
      <c r="R13" s="5" t="n">
        <v>18.96</v>
      </c>
      <c r="S13" s="5" t="n">
        <v>2935.05</v>
      </c>
      <c r="T13" s="5" t="n">
        <v>-6.71</v>
      </c>
      <c r="U13" s="5" t="n">
        <v>-23.02</v>
      </c>
      <c r="V13" s="5" t="n">
        <v>-25.6</v>
      </c>
      <c r="W13" s="5" t="n">
        <v>-31.43</v>
      </c>
      <c r="X13" s="5" t="n">
        <v>67.15000000000001</v>
      </c>
      <c r="Y13" s="5" t="n">
        <v>35.38</v>
      </c>
      <c r="Z13" s="5" t="n">
        <v>2.56</v>
      </c>
      <c r="AA13" s="5" t="n">
        <v>64.36</v>
      </c>
      <c r="AB13" s="5" t="n">
        <v>1.25</v>
      </c>
      <c r="AC13" s="5" t="n">
        <v>-11.24</v>
      </c>
      <c r="AD13" s="5" t="n">
        <v>-0.55</v>
      </c>
      <c r="AE13" s="5" t="n">
        <v/>
      </c>
      <c r="AF13" s="5" t="n">
        <v>5.37</v>
      </c>
      <c r="AG13" s="5" t="n">
        <v>57.82</v>
      </c>
    </row>
    <row r="14">
      <c r="A14" s="2" t="inlineStr">
        <is>
          <t>Driver</t>
        </is>
      </c>
      <c r="B14" s="2" t="inlineStr">
        <is>
          <t>dffb632c-0ddb-47f7-b265-875c2f364073</t>
        </is>
      </c>
      <c r="C14" s="2" t="inlineStr">
        <is>
          <t>2025-08-05 09:54:17</t>
        </is>
      </c>
      <c r="D14" s="3" t="n">
        <v>81.7</v>
      </c>
      <c r="E14" s="3" t="n">
        <v>121.8</v>
      </c>
      <c r="F14" s="3" t="n">
        <v>1.49</v>
      </c>
      <c r="G14" s="3" t="n">
        <v>174.42</v>
      </c>
      <c r="H14" s="3" t="n">
        <v>208.96</v>
      </c>
      <c r="I14" s="3" t="n">
        <v/>
      </c>
      <c r="J14" s="3" t="n">
        <v/>
      </c>
      <c r="K14" s="3" t="n">
        <v>1.4</v>
      </c>
      <c r="L14" s="3" t="n">
        <v>1.37</v>
      </c>
      <c r="M14" s="3" t="n">
        <v>-0.03</v>
      </c>
      <c r="N14" s="3" t="n">
        <v>1.37</v>
      </c>
      <c r="O14" s="3" t="n">
        <v>-1.6</v>
      </c>
      <c r="P14" s="3" t="n">
        <v>12.78</v>
      </c>
      <c r="Q14" s="3" t="n">
        <v>10.71</v>
      </c>
      <c r="R14" s="3" t="n">
        <v>14.41</v>
      </c>
      <c r="S14" s="3" t="n">
        <v>2496.55</v>
      </c>
      <c r="T14" s="3" t="n">
        <v>0.09</v>
      </c>
      <c r="U14" s="3" t="n">
        <v>0.24</v>
      </c>
      <c r="V14" s="3" t="n">
        <v>12.75</v>
      </c>
      <c r="W14" s="3" t="n">
        <v>15.33</v>
      </c>
      <c r="X14" s="3" t="n">
        <v>41.58</v>
      </c>
      <c r="Y14" s="3" t="n">
        <v>24.36</v>
      </c>
      <c r="Z14" s="3" t="n">
        <v>-0.71</v>
      </c>
      <c r="AA14" s="3" t="n">
        <v>45.41</v>
      </c>
      <c r="AB14" s="3" t="n">
        <v>1.4</v>
      </c>
      <c r="AC14" s="3" t="n">
        <v>-0.02</v>
      </c>
      <c r="AD14" s="3" t="n">
        <v>1.26</v>
      </c>
      <c r="AE14" s="3" t="n">
        <v/>
      </c>
      <c r="AF14" s="3" t="n">
        <v>4.52</v>
      </c>
      <c r="AG14" s="3" t="n">
        <v/>
      </c>
    </row>
    <row r="15">
      <c r="A15" s="4" t="inlineStr">
        <is>
          <t>Driver</t>
        </is>
      </c>
      <c r="B15" s="4" t="inlineStr">
        <is>
          <t>5aa3da56-0c52-41fe-b39c-a61dc15dd4b8</t>
        </is>
      </c>
      <c r="C15" s="4" t="inlineStr">
        <is>
          <t>2025-08-05 09:54:45</t>
        </is>
      </c>
      <c r="D15" s="5" t="n">
        <v>86.58</v>
      </c>
      <c r="E15" s="5" t="n">
        <v>123.82</v>
      </c>
      <c r="F15" s="5" t="n">
        <v>1.43</v>
      </c>
      <c r="G15" s="5" t="n">
        <v>196.77</v>
      </c>
      <c r="H15" s="5" t="n">
        <v>215.64</v>
      </c>
      <c r="I15" s="5" t="n">
        <v/>
      </c>
      <c r="J15" s="5" t="n">
        <v/>
      </c>
      <c r="K15" s="5" t="n">
        <v>1.7</v>
      </c>
      <c r="L15" s="5" t="n">
        <v>6.79</v>
      </c>
      <c r="M15" s="5" t="n">
        <v>5.09</v>
      </c>
      <c r="N15" s="5" t="n">
        <v>6.16</v>
      </c>
      <c r="O15" s="5" t="n">
        <v>-0.1</v>
      </c>
      <c r="P15" s="5" t="n">
        <v>20.18</v>
      </c>
      <c r="Q15" s="5" t="n">
        <v>17.84</v>
      </c>
      <c r="R15" s="5" t="n">
        <v>21.07</v>
      </c>
      <c r="S15" s="5" t="n">
        <v>2979</v>
      </c>
      <c r="T15" s="5" t="n">
        <v>9.26</v>
      </c>
      <c r="U15" s="5" t="n">
        <v>39.54</v>
      </c>
      <c r="V15" s="5" t="n">
        <v>102.46</v>
      </c>
      <c r="W15" s="5" t="n">
        <v>115.3</v>
      </c>
      <c r="X15" s="5" t="n">
        <v>90.75</v>
      </c>
      <c r="Y15" s="5" t="n">
        <v>41.07</v>
      </c>
      <c r="Z15" s="5" t="n">
        <v>1.39</v>
      </c>
      <c r="AA15" s="5" t="n">
        <v>48.66</v>
      </c>
      <c r="AB15" s="5" t="n">
        <v>1.47</v>
      </c>
      <c r="AC15" s="5" t="n">
        <v>13.59</v>
      </c>
      <c r="AD15" s="5" t="n">
        <v>0.35</v>
      </c>
      <c r="AE15" s="5" t="n">
        <v/>
      </c>
      <c r="AF15" s="5" t="n">
        <v>6.1</v>
      </c>
      <c r="AG15" s="5" t="n">
        <v/>
      </c>
    </row>
    <row r="16">
      <c r="A16" s="2" t="inlineStr">
        <is>
          <t>Driver</t>
        </is>
      </c>
      <c r="B16" s="2" t="inlineStr">
        <is>
          <t>b673639f-97c7-4d7f-a54b-163d542006d2</t>
        </is>
      </c>
      <c r="C16" s="2" t="inlineStr">
        <is>
          <t>2025-08-05 09:55:27</t>
        </is>
      </c>
      <c r="D16" s="3" t="n">
        <v>83.97</v>
      </c>
      <c r="E16" s="3" t="n">
        <v>124.28</v>
      </c>
      <c r="F16" s="3" t="n">
        <v>1.48</v>
      </c>
      <c r="G16" s="3" t="n">
        <v>130.55</v>
      </c>
      <c r="H16" s="3" t="n">
        <v>183.82</v>
      </c>
      <c r="I16" s="3" t="n">
        <v>-7.56</v>
      </c>
      <c r="J16" s="3" t="n">
        <v>-3.53</v>
      </c>
      <c r="K16" s="3" t="n">
        <v>1.8</v>
      </c>
      <c r="L16" s="3" t="n">
        <v>-6.16</v>
      </c>
      <c r="M16" s="3" t="n">
        <v>-7.96</v>
      </c>
      <c r="N16" s="3" t="n">
        <v>-4.58</v>
      </c>
      <c r="O16" s="3" t="n">
        <v>3</v>
      </c>
      <c r="P16" s="3" t="n">
        <v>8.32</v>
      </c>
      <c r="Q16" s="3" t="n">
        <v>7.27</v>
      </c>
      <c r="R16" s="3" t="n">
        <v>9.52</v>
      </c>
      <c r="S16" s="3" t="n">
        <v>2328.8</v>
      </c>
      <c r="T16" s="3" t="n">
        <v>-39.02</v>
      </c>
      <c r="U16" s="3" t="n">
        <v>-49.1</v>
      </c>
      <c r="V16" s="3" t="n">
        <v>-79.95</v>
      </c>
      <c r="W16" s="3" t="n">
        <v>-134.3</v>
      </c>
      <c r="X16" s="3" t="n">
        <v>17.2</v>
      </c>
      <c r="Y16" s="3" t="n">
        <v>12.79</v>
      </c>
      <c r="Z16" s="3" t="n">
        <v>3.17</v>
      </c>
      <c r="AA16" s="3" t="n">
        <v>58.01</v>
      </c>
      <c r="AB16" s="3" t="n">
        <v>1.34</v>
      </c>
      <c r="AC16" s="3" t="n">
        <v>-55.23</v>
      </c>
      <c r="AD16" s="3" t="n">
        <v>-4.49</v>
      </c>
      <c r="AE16" s="3" t="n">
        <v/>
      </c>
      <c r="AF16" s="3" t="n">
        <v>2.86</v>
      </c>
      <c r="AG16" s="3" t="n">
        <v>52.27</v>
      </c>
    </row>
    <row r="17">
      <c r="A17" s="4" t="inlineStr">
        <is>
          <t>Driver</t>
        </is>
      </c>
      <c r="B17" s="4" t="inlineStr">
        <is>
          <t>5d8e0397-3af5-4d68-949b-24337ed51493</t>
        </is>
      </c>
      <c r="C17" s="4" t="inlineStr">
        <is>
          <t>2025-08-05 09:56:31</t>
        </is>
      </c>
      <c r="D17" s="5" t="n">
        <v>85.62</v>
      </c>
      <c r="E17" s="5" t="n">
        <v>126.67</v>
      </c>
      <c r="F17" s="5" t="n">
        <v>1.48</v>
      </c>
      <c r="G17" s="5" t="n">
        <v>195.77</v>
      </c>
      <c r="H17" s="5" t="n">
        <v>220.75</v>
      </c>
      <c r="I17" s="5" t="n">
        <v/>
      </c>
      <c r="J17" s="5" t="n">
        <v/>
      </c>
      <c r="K17" s="5" t="n">
        <v>1.8</v>
      </c>
      <c r="L17" s="5" t="n">
        <v>2.59</v>
      </c>
      <c r="M17" s="5" t="n">
        <v>0.79</v>
      </c>
      <c r="N17" s="5" t="n">
        <v>2.45</v>
      </c>
      <c r="O17" s="5" t="n">
        <v>1.2</v>
      </c>
      <c r="P17" s="5" t="n">
        <v>15.08</v>
      </c>
      <c r="Q17" s="5" t="n">
        <v>12.78</v>
      </c>
      <c r="R17" s="5" t="n">
        <v>13.89</v>
      </c>
      <c r="S17" s="5" t="n">
        <v>2902.58</v>
      </c>
      <c r="T17" s="5" t="n">
        <v>3.35</v>
      </c>
      <c r="U17" s="5" t="n">
        <v>13.16</v>
      </c>
      <c r="V17" s="5" t="n">
        <v>38.26</v>
      </c>
      <c r="W17" s="5" t="n">
        <v>44.72</v>
      </c>
      <c r="X17" s="5" t="n">
        <v>64.28</v>
      </c>
      <c r="Y17" s="5" t="n">
        <v>33.02</v>
      </c>
      <c r="Z17" s="5" t="n">
        <v>2.43</v>
      </c>
      <c r="AA17" s="5" t="n">
        <v>45.87</v>
      </c>
      <c r="AB17" s="5" t="n">
        <v>1.26</v>
      </c>
      <c r="AC17" s="5" t="n">
        <v>3.25</v>
      </c>
      <c r="AD17" s="5" t="n">
        <v>-2.56</v>
      </c>
      <c r="AE17" s="5" t="n">
        <v/>
      </c>
      <c r="AF17" s="5" t="n">
        <v>5.48</v>
      </c>
      <c r="AG17" s="5" t="n">
        <v/>
      </c>
    </row>
    <row r="18">
      <c r="A18" s="2" t="inlineStr">
        <is>
          <t>Driver</t>
        </is>
      </c>
      <c r="B18" s="2" t="inlineStr">
        <is>
          <t>e9076857-5795-457a-9195-7e9c00a7c0bc</t>
        </is>
      </c>
      <c r="C18" s="2" t="inlineStr">
        <is>
          <t>2025-08-05 09:57:12</t>
        </is>
      </c>
      <c r="D18" s="3" t="n">
        <v>86.45</v>
      </c>
      <c r="E18" s="3" t="n">
        <v>127.74</v>
      </c>
      <c r="F18" s="3" t="n">
        <v>1.48</v>
      </c>
      <c r="G18" s="3" t="n">
        <v>200.77</v>
      </c>
      <c r="H18" s="3" t="n">
        <v>223.44</v>
      </c>
      <c r="I18" s="3" t="n">
        <v/>
      </c>
      <c r="J18" s="3" t="n">
        <v/>
      </c>
      <c r="K18" s="3" t="n">
        <v>1</v>
      </c>
      <c r="L18" s="3" t="n">
        <v>1.91</v>
      </c>
      <c r="M18" s="3" t="n">
        <v>0.91</v>
      </c>
      <c r="N18" s="3" t="n">
        <v>1.76</v>
      </c>
      <c r="O18" s="3" t="n">
        <v>0.6</v>
      </c>
      <c r="P18" s="3" t="n">
        <v>16.17</v>
      </c>
      <c r="Q18" s="3" t="n">
        <v>13.85</v>
      </c>
      <c r="R18" s="3" t="n">
        <v>15.59</v>
      </c>
      <c r="S18" s="3" t="n">
        <v>2949</v>
      </c>
      <c r="T18" s="3" t="n">
        <v>1.56</v>
      </c>
      <c r="U18" s="3" t="n">
        <v>6.58</v>
      </c>
      <c r="V18" s="3" t="n">
        <v>25.06</v>
      </c>
      <c r="W18" s="3" t="n">
        <v>28.57</v>
      </c>
      <c r="X18" s="3" t="n">
        <v>73.23</v>
      </c>
      <c r="Y18" s="3" t="n">
        <v>35.77</v>
      </c>
      <c r="Z18" s="3" t="n">
        <v>1</v>
      </c>
      <c r="AA18" s="3" t="n">
        <v>46.77</v>
      </c>
      <c r="AB18" s="3" t="n">
        <v>1.28</v>
      </c>
      <c r="AC18" s="3" t="n">
        <v>3.48</v>
      </c>
      <c r="AD18" s="3" t="n">
        <v>-1.81</v>
      </c>
      <c r="AE18" s="3" t="n">
        <v/>
      </c>
      <c r="AF18" s="3" t="n">
        <v>5.76</v>
      </c>
      <c r="AG18" s="3" t="n">
        <v/>
      </c>
    </row>
    <row r="19">
      <c r="A19" s="4" t="inlineStr">
        <is>
          <t>Driver</t>
        </is>
      </c>
      <c r="B19" s="4" t="inlineStr">
        <is>
          <t>8cae6e79-fe76-4e90-aaf9-5bcd2d222755</t>
        </is>
      </c>
      <c r="C19" s="4" t="inlineStr">
        <is>
          <t>2025-08-05 09:57:58</t>
        </is>
      </c>
      <c r="D19" s="5" t="n">
        <v>87.29000000000001</v>
      </c>
      <c r="E19" s="5" t="n">
        <v>128.19</v>
      </c>
      <c r="F19" s="5" t="n">
        <v>1.47</v>
      </c>
      <c r="G19" s="5" t="n">
        <v>151.72</v>
      </c>
      <c r="H19" s="5" t="n">
        <v>202.8</v>
      </c>
      <c r="I19" s="5" t="n">
        <v>-18.69</v>
      </c>
      <c r="J19" s="5" t="n">
        <v>-6.66</v>
      </c>
      <c r="K19" s="5" t="n">
        <v>1</v>
      </c>
      <c r="L19" s="5" t="n">
        <v>0.24</v>
      </c>
      <c r="M19" s="5" t="n">
        <v>-0.76</v>
      </c>
      <c r="N19" s="5" t="n">
        <v>0.57</v>
      </c>
      <c r="O19" s="5" t="n">
        <v>3.6</v>
      </c>
      <c r="P19" s="5" t="n">
        <v>7.44</v>
      </c>
      <c r="Q19" s="5" t="n">
        <v>5.67</v>
      </c>
      <c r="R19" s="5" t="n">
        <v>3.98</v>
      </c>
      <c r="S19" s="5" t="n">
        <v>2293.58</v>
      </c>
      <c r="T19" s="5" t="n">
        <v>-3.53</v>
      </c>
      <c r="U19" s="5" t="n">
        <v>-6.33</v>
      </c>
      <c r="V19" s="5" t="n">
        <v>-1.81</v>
      </c>
      <c r="W19" s="5" t="n">
        <v>-4.73</v>
      </c>
      <c r="X19" s="5" t="n">
        <v>18.42</v>
      </c>
      <c r="Y19" s="5" t="n">
        <v>13</v>
      </c>
      <c r="Z19" s="5" t="n">
        <v>3.54</v>
      </c>
      <c r="AA19" s="5" t="n">
        <v>48.92</v>
      </c>
      <c r="AB19" s="5" t="n">
        <v>1.29</v>
      </c>
      <c r="AC19" s="5" t="n">
        <v>-10.17</v>
      </c>
      <c r="AD19" s="5" t="n">
        <v>-5.39</v>
      </c>
      <c r="AE19" s="5" t="n">
        <v/>
      </c>
      <c r="AF19" s="5" t="n">
        <v>3.35</v>
      </c>
      <c r="AG19" s="5" t="n">
        <v>50.83</v>
      </c>
    </row>
    <row r="20">
      <c r="A20" s="2" t="inlineStr">
        <is>
          <t>Driver</t>
        </is>
      </c>
      <c r="B20" s="2" t="inlineStr">
        <is>
          <t>4d11fb94-d260-4be8-95a6-e6f5d66e3999</t>
        </is>
      </c>
      <c r="C20" s="2" t="inlineStr">
        <is>
          <t>2025-08-05 09:58:42</t>
        </is>
      </c>
      <c r="D20" s="3" t="n">
        <v>84.78</v>
      </c>
      <c r="E20" s="3" t="n">
        <v>122.29</v>
      </c>
      <c r="F20" s="3" t="n">
        <v>1.44</v>
      </c>
      <c r="G20" s="3" t="n">
        <v>195.1</v>
      </c>
      <c r="H20" s="3" t="n">
        <v>219.01</v>
      </c>
      <c r="I20" s="3" t="n">
        <v/>
      </c>
      <c r="J20" s="3" t="n">
        <v/>
      </c>
      <c r="K20" s="3" t="n">
        <v>2.5</v>
      </c>
      <c r="L20" s="3" t="n">
        <v>4.66</v>
      </c>
      <c r="M20" s="3" t="n">
        <v>2.16</v>
      </c>
      <c r="N20" s="3" t="n">
        <v>4.42</v>
      </c>
      <c r="O20" s="3" t="n">
        <v>-0.5</v>
      </c>
      <c r="P20" s="3" t="n">
        <v>18.84</v>
      </c>
      <c r="Q20" s="3" t="n">
        <v>16.81</v>
      </c>
      <c r="R20" s="3" t="n">
        <v>19.62</v>
      </c>
      <c r="S20" s="3" t="n">
        <v>2472.35</v>
      </c>
      <c r="T20" s="3" t="n">
        <v>2.91</v>
      </c>
      <c r="U20" s="3" t="n">
        <v>10.53</v>
      </c>
      <c r="V20" s="3" t="n">
        <v>55.59</v>
      </c>
      <c r="W20" s="3" t="n">
        <v>63.55</v>
      </c>
      <c r="X20" s="3" t="n">
        <v>76.56</v>
      </c>
      <c r="Y20" s="3" t="n">
        <v>36.07</v>
      </c>
      <c r="Z20" s="3" t="n">
        <v>1.93</v>
      </c>
      <c r="AA20" s="3" t="n">
        <v>51.91</v>
      </c>
      <c r="AB20" s="3" t="n">
        <v>1.44</v>
      </c>
      <c r="AC20" s="3" t="n">
        <v>6.26</v>
      </c>
      <c r="AD20" s="3" t="n">
        <v>0.83</v>
      </c>
      <c r="AE20" s="3" t="n">
        <v/>
      </c>
      <c r="AF20" s="3" t="n">
        <v>5.67</v>
      </c>
      <c r="AG20" s="3" t="n">
        <v/>
      </c>
    </row>
    <row r="21">
      <c r="A21" s="4" t="inlineStr">
        <is>
          <t>Driver</t>
        </is>
      </c>
      <c r="B21" s="4" t="inlineStr">
        <is>
          <t>bd348f1c-cb52-4f7c-b78c-5920974f68ba</t>
        </is>
      </c>
      <c r="C21" s="4" t="inlineStr">
        <is>
          <t>2025-08-05 09:59:54</t>
        </is>
      </c>
      <c r="D21" s="5" t="n">
        <v>88.05</v>
      </c>
      <c r="E21" s="5" t="n">
        <v>130.97</v>
      </c>
      <c r="F21" s="5" t="n">
        <v>1.49</v>
      </c>
      <c r="G21" s="5" t="n">
        <v>184.77</v>
      </c>
      <c r="H21" s="5" t="n">
        <v>224.25</v>
      </c>
      <c r="I21" s="5" t="n">
        <v/>
      </c>
      <c r="J21" s="5" t="n">
        <v/>
      </c>
      <c r="K21" s="5" t="n">
        <v>3</v>
      </c>
      <c r="L21" s="5" t="n">
        <v>-2.89</v>
      </c>
      <c r="M21" s="5" t="n">
        <v>-5.89</v>
      </c>
      <c r="N21" s="5" t="n">
        <v>-1.88</v>
      </c>
      <c r="O21" s="5" t="n">
        <v>3.2</v>
      </c>
      <c r="P21" s="5" t="n">
        <v>11.64</v>
      </c>
      <c r="Q21" s="5" t="n">
        <v>10.26</v>
      </c>
      <c r="R21" s="5" t="n">
        <v>10.23</v>
      </c>
      <c r="S21" s="5" t="n">
        <v>2219</v>
      </c>
      <c r="T21" s="5" t="n">
        <v>-21.11</v>
      </c>
      <c r="U21" s="5" t="n">
        <v>-55.73</v>
      </c>
      <c r="V21" s="5" t="n">
        <v>-73.81</v>
      </c>
      <c r="W21" s="5" t="n">
        <v>-102.26</v>
      </c>
      <c r="X21" s="5" t="n">
        <v>40.69</v>
      </c>
      <c r="Y21" s="5" t="n">
        <v>22.39</v>
      </c>
      <c r="Z21" s="5" t="n">
        <v>5.02</v>
      </c>
      <c r="AA21" s="5" t="n">
        <v>54.12</v>
      </c>
      <c r="AB21" s="5" t="n">
        <v>1.39</v>
      </c>
      <c r="AC21" s="5" t="n">
        <v>-34.88</v>
      </c>
      <c r="AD21" s="5" t="n">
        <v>-5.12</v>
      </c>
      <c r="AE21" s="5" t="n">
        <v/>
      </c>
      <c r="AF21" s="5" t="n">
        <v>4.4</v>
      </c>
      <c r="AG21" s="5" t="n">
        <v/>
      </c>
    </row>
    <row r="22">
      <c r="A22" s="2" t="inlineStr">
        <is>
          <t>Driver</t>
        </is>
      </c>
      <c r="B22" s="2" t="inlineStr">
        <is>
          <t>67bbf4b5-2bbc-4d53-96e3-fd01f44abe9a</t>
        </is>
      </c>
      <c r="C22" s="2" t="inlineStr">
        <is>
          <t>2025-08-05 10:00:47</t>
        </is>
      </c>
      <c r="D22" s="3" t="n">
        <v>86.84999999999999</v>
      </c>
      <c r="E22" s="3" t="n">
        <v>129.27</v>
      </c>
      <c r="F22" s="3" t="n">
        <v>1.49</v>
      </c>
      <c r="G22" s="3" t="n">
        <v>190.16</v>
      </c>
      <c r="H22" s="3" t="n">
        <v>224.05</v>
      </c>
      <c r="I22" s="3" t="n">
        <v/>
      </c>
      <c r="J22" s="3" t="n">
        <v/>
      </c>
      <c r="K22" s="3" t="n">
        <v>4</v>
      </c>
      <c r="L22" s="3" t="n">
        <v>-0.7</v>
      </c>
      <c r="M22" s="3" t="n">
        <v>-4.7</v>
      </c>
      <c r="N22" s="3" t="n">
        <v>0.11</v>
      </c>
      <c r="O22" s="3" t="n">
        <v>2.4</v>
      </c>
      <c r="P22" s="3" t="n">
        <v>12.71</v>
      </c>
      <c r="Q22" s="3" t="n">
        <v>10.96</v>
      </c>
      <c r="R22" s="3" t="n">
        <v>11.34</v>
      </c>
      <c r="S22" s="3" t="n">
        <v>2472.54</v>
      </c>
      <c r="T22" s="3" t="n">
        <v>-16.24</v>
      </c>
      <c r="U22" s="3" t="n">
        <v>-50.74</v>
      </c>
      <c r="V22" s="3" t="n">
        <v>-49.64</v>
      </c>
      <c r="W22" s="3" t="n">
        <v>-67.95</v>
      </c>
      <c r="X22" s="3" t="n">
        <v>47.76</v>
      </c>
      <c r="Y22" s="3" t="n">
        <v>25.74</v>
      </c>
      <c r="Z22" s="3" t="n">
        <v>5.34</v>
      </c>
      <c r="AA22" s="3" t="n">
        <v>51.49</v>
      </c>
      <c r="AB22" s="3" t="n">
        <v>1.28</v>
      </c>
      <c r="AC22" s="3" t="n">
        <v>-23.66</v>
      </c>
      <c r="AD22" s="3" t="n">
        <v>-3.82</v>
      </c>
      <c r="AE22" s="3" t="n">
        <v/>
      </c>
      <c r="AF22" s="3" t="n">
        <v>4.8</v>
      </c>
      <c r="AG22" s="3" t="n">
        <v/>
      </c>
    </row>
    <row r="23">
      <c r="A23" s="4" t="inlineStr">
        <is>
          <t>Driver</t>
        </is>
      </c>
      <c r="B23" s="4" t="inlineStr">
        <is>
          <t>6136e3bf-fae5-4f90-afc8-1b2d60891425</t>
        </is>
      </c>
      <c r="C23" s="4" t="inlineStr">
        <is>
          <t>2025-08-05 10:02:35</t>
        </is>
      </c>
      <c r="D23" s="5" t="n">
        <v>89.09999999999999</v>
      </c>
      <c r="E23" s="5" t="n">
        <v>132.11</v>
      </c>
      <c r="F23" s="5" t="n">
        <v>1.48</v>
      </c>
      <c r="G23" s="5" t="n">
        <v>207.67</v>
      </c>
      <c r="H23" s="5" t="n">
        <v>234.71</v>
      </c>
      <c r="I23" s="5" t="n">
        <v>6.55</v>
      </c>
      <c r="J23" s="5" t="n">
        <v>-9.33</v>
      </c>
      <c r="K23" s="5" t="n">
        <v>3</v>
      </c>
      <c r="L23" s="5" t="n">
        <v>-0.07000000000000001</v>
      </c>
      <c r="M23" s="5" t="n">
        <v>-3.07</v>
      </c>
      <c r="N23" s="5" t="n">
        <v>0.36</v>
      </c>
      <c r="O23" s="5" t="n">
        <v>0</v>
      </c>
      <c r="P23" s="5" t="n">
        <v>14.39</v>
      </c>
      <c r="Q23" s="5" t="n">
        <v>12.41</v>
      </c>
      <c r="R23" s="5" t="n">
        <v>14.61</v>
      </c>
      <c r="S23" s="5" t="n">
        <v>2662.59</v>
      </c>
      <c r="T23" s="5" t="n">
        <v>-3.97</v>
      </c>
      <c r="U23" s="5" t="n">
        <v>-16.06</v>
      </c>
      <c r="V23" s="5" t="n">
        <v>-12.11</v>
      </c>
      <c r="W23" s="5" t="n">
        <v>-15.73</v>
      </c>
      <c r="X23" s="5" t="n">
        <v>65.61</v>
      </c>
      <c r="Y23" s="5" t="n">
        <v>32.07</v>
      </c>
      <c r="Z23" s="5" t="n">
        <v>2.54</v>
      </c>
      <c r="AA23" s="5" t="n">
        <v>44.26</v>
      </c>
      <c r="AB23" s="5" t="n">
        <v>1.45</v>
      </c>
      <c r="AC23" s="5" t="n">
        <v>-11.55</v>
      </c>
      <c r="AD23" s="5" t="n">
        <v>-1.14</v>
      </c>
      <c r="AE23" s="5" t="n">
        <v/>
      </c>
      <c r="AF23" s="5" t="n">
        <v>5.57</v>
      </c>
      <c r="AG23" s="5" t="n">
        <v>49.16</v>
      </c>
    </row>
    <row r="24">
      <c r="A24" s="2" t="inlineStr">
        <is>
          <t>Driver</t>
        </is>
      </c>
      <c r="B24" s="2" t="inlineStr">
        <is>
          <t>9a2be927-ed5f-4116-8c77-c7a34fb4cbd3</t>
        </is>
      </c>
      <c r="C24" s="2" t="inlineStr">
        <is>
          <t>2025-08-05 10:03:27</t>
        </is>
      </c>
      <c r="D24" s="3" t="n">
        <v>89.56</v>
      </c>
      <c r="E24" s="3" t="n">
        <v>132.48</v>
      </c>
      <c r="F24" s="3" t="n">
        <v>1.48</v>
      </c>
      <c r="G24" s="3" t="n">
        <v>202.97</v>
      </c>
      <c r="H24" s="3" t="n">
        <v>229.07</v>
      </c>
      <c r="I24" s="3" t="n">
        <v>3.71</v>
      </c>
      <c r="J24" s="3" t="n">
        <v>6.94</v>
      </c>
      <c r="K24" s="3" t="n">
        <v>1.7</v>
      </c>
      <c r="L24" s="3" t="n">
        <v>-0.5</v>
      </c>
      <c r="M24" s="3" t="n">
        <v>-2.2</v>
      </c>
      <c r="N24" s="3" t="n">
        <v>-0.03</v>
      </c>
      <c r="O24" s="3" t="n">
        <v>3.3</v>
      </c>
      <c r="P24" s="3" t="n">
        <v>13.92</v>
      </c>
      <c r="Q24" s="3" t="n">
        <v>11.72</v>
      </c>
      <c r="R24" s="3" t="n">
        <v>10.78</v>
      </c>
      <c r="S24" s="3" t="n">
        <v>2955.82</v>
      </c>
      <c r="T24" s="3" t="n">
        <v>-16.51</v>
      </c>
      <c r="U24" s="3" t="n">
        <v>-67.98</v>
      </c>
      <c r="V24" s="3" t="n">
        <v>-68.31999999999999</v>
      </c>
      <c r="W24" s="3" t="n">
        <v>-85.78</v>
      </c>
      <c r="X24" s="3" t="n">
        <v>62.62</v>
      </c>
      <c r="Y24" s="3" t="n">
        <v>31.78</v>
      </c>
      <c r="Z24" s="3" t="n">
        <v>4.26</v>
      </c>
      <c r="AA24" s="3" t="n">
        <v>52.7</v>
      </c>
      <c r="AB24" s="3" t="n">
        <v>1.55</v>
      </c>
      <c r="AC24" s="3" t="n">
        <v>-11.46</v>
      </c>
      <c r="AD24" s="3" t="n">
        <v>-4.49</v>
      </c>
      <c r="AE24" s="3" t="n">
        <v/>
      </c>
      <c r="AF24" s="3" t="n">
        <v>5.48</v>
      </c>
      <c r="AG24" s="3" t="n">
        <v>50.94</v>
      </c>
    </row>
    <row r="25">
      <c r="A25" s="4" t="inlineStr">
        <is>
          <t>Driver</t>
        </is>
      </c>
      <c r="B25" s="4" t="inlineStr">
        <is>
          <t>97487baf-3245-4b8b-b7ed-42e6efbb3035</t>
        </is>
      </c>
      <c r="C25" s="4" t="inlineStr">
        <is>
          <t>2025-08-05 10:04:07</t>
        </is>
      </c>
      <c r="D25" s="5" t="n">
        <v>88.40000000000001</v>
      </c>
      <c r="E25" s="5" t="n">
        <v>130.56</v>
      </c>
      <c r="F25" s="5" t="n">
        <v>1.48</v>
      </c>
      <c r="G25" s="5" t="n">
        <v>208.24</v>
      </c>
      <c r="H25" s="5" t="n">
        <v>229.23</v>
      </c>
      <c r="I25" s="5" t="n">
        <v/>
      </c>
      <c r="J25" s="5" t="n">
        <v/>
      </c>
      <c r="K25" s="5" t="n">
        <v>4</v>
      </c>
      <c r="L25" s="5" t="n">
        <v>2.92</v>
      </c>
      <c r="M25" s="5" t="n">
        <v>-1.08</v>
      </c>
      <c r="N25" s="5" t="n">
        <v>3.09</v>
      </c>
      <c r="O25" s="5" t="n">
        <v>2.8</v>
      </c>
      <c r="P25" s="5" t="n">
        <v>16.81</v>
      </c>
      <c r="Q25" s="5" t="n">
        <v>14.53</v>
      </c>
      <c r="R25" s="5" t="n">
        <v>14.06</v>
      </c>
      <c r="S25" s="5" t="n">
        <v>2975.48</v>
      </c>
      <c r="T25" s="5" t="n">
        <v>-2.99</v>
      </c>
      <c r="U25" s="5" t="n">
        <v>-13.64</v>
      </c>
      <c r="V25" s="5" t="n">
        <v>20.05</v>
      </c>
      <c r="W25" s="5" t="n">
        <v>20.87</v>
      </c>
      <c r="X25" s="5" t="n">
        <v>82.06999999999999</v>
      </c>
      <c r="Y25" s="5" t="n">
        <v>37.98</v>
      </c>
      <c r="Z25" s="5" t="n">
        <v>6.14</v>
      </c>
      <c r="AA25" s="5" t="n">
        <v>46.07</v>
      </c>
      <c r="AB25" s="5" t="n">
        <v>1.41</v>
      </c>
      <c r="AC25" s="5" t="n">
        <v>-3.96</v>
      </c>
      <c r="AD25" s="5" t="n">
        <v>-4.92</v>
      </c>
      <c r="AE25" s="5" t="n">
        <v/>
      </c>
      <c r="AF25" s="5" t="n">
        <v>6.04</v>
      </c>
      <c r="AG25" s="5" t="n">
        <v/>
      </c>
    </row>
    <row r="26">
      <c r="A26" s="2" t="inlineStr">
        <is>
          <t>Driver</t>
        </is>
      </c>
      <c r="B26" s="2" t="inlineStr">
        <is>
          <t>e5e45fca-8d32-4b31-a212-efeb68f990df</t>
        </is>
      </c>
      <c r="C26" s="2" t="inlineStr">
        <is>
          <t>2025-08-05 10:04:54</t>
        </is>
      </c>
      <c r="D26" s="3" t="n">
        <v>88.22</v>
      </c>
      <c r="E26" s="3" t="n">
        <v>129.27</v>
      </c>
      <c r="F26" s="3" t="n">
        <v>1.47</v>
      </c>
      <c r="G26" s="3" t="n">
        <v>207.04</v>
      </c>
      <c r="H26" s="3" t="n">
        <v>224.56</v>
      </c>
      <c r="I26" s="3" t="n">
        <v>10</v>
      </c>
      <c r="J26" s="3" t="n">
        <v>0.02</v>
      </c>
      <c r="K26" s="3" t="n">
        <v>2.4</v>
      </c>
      <c r="L26" s="3" t="n">
        <v>2.95</v>
      </c>
      <c r="M26" s="3" t="n">
        <v>0.55</v>
      </c>
      <c r="N26" s="3" t="n">
        <v>2.88</v>
      </c>
      <c r="O26" s="3" t="n">
        <v>1.6</v>
      </c>
      <c r="P26" s="3" t="n">
        <v>19.36</v>
      </c>
      <c r="Q26" s="3" t="n">
        <v>16.91</v>
      </c>
      <c r="R26" s="3" t="n">
        <v>17.81</v>
      </c>
      <c r="S26" s="3" t="n">
        <v>3142.61</v>
      </c>
      <c r="T26" s="3" t="n">
        <v>1.9</v>
      </c>
      <c r="U26" s="3" t="n">
        <v>9.16</v>
      </c>
      <c r="V26" s="3" t="n">
        <v>40.39</v>
      </c>
      <c r="W26" s="3" t="n">
        <v>44.42</v>
      </c>
      <c r="X26" s="3" t="n">
        <v>97.65000000000001</v>
      </c>
      <c r="Y26" s="3" t="n">
        <v>42.5</v>
      </c>
      <c r="Z26" s="3" t="n">
        <v>3.54</v>
      </c>
      <c r="AA26" s="3" t="n">
        <v>45.05</v>
      </c>
      <c r="AB26" s="3" t="n">
        <v>1.37</v>
      </c>
      <c r="AC26" s="3" t="n">
        <v>1.46</v>
      </c>
      <c r="AD26" s="3" t="n">
        <v>-3.19</v>
      </c>
      <c r="AE26" s="3" t="n">
        <v/>
      </c>
      <c r="AF26" s="3" t="n">
        <v>6.38</v>
      </c>
      <c r="AG26" s="3" t="n">
        <v>51.25</v>
      </c>
    </row>
    <row r="27">
      <c r="A27" s="4" t="inlineStr">
        <is>
          <t>Driver</t>
        </is>
      </c>
      <c r="B27" s="4" t="inlineStr">
        <is>
          <t>dbd95b3a-5642-4024-b869-7cfa357a2f74</t>
        </is>
      </c>
      <c r="C27" s="4" t="inlineStr">
        <is>
          <t>2025-08-05 10:07:02</t>
        </is>
      </c>
      <c r="D27" s="5" t="n">
        <v>86.95999999999999</v>
      </c>
      <c r="E27" s="5" t="n">
        <v>126.09</v>
      </c>
      <c r="F27" s="5" t="n">
        <v>1.45</v>
      </c>
      <c r="G27" s="5" t="n">
        <v>198.35</v>
      </c>
      <c r="H27" s="5" t="n">
        <v>225.52</v>
      </c>
      <c r="I27" s="5" t="n">
        <v/>
      </c>
      <c r="J27" s="5" t="n">
        <v/>
      </c>
      <c r="K27" s="5" t="n">
        <v>2</v>
      </c>
      <c r="L27" s="5" t="n">
        <v>4.36</v>
      </c>
      <c r="M27" s="5" t="n">
        <v>2.36</v>
      </c>
      <c r="N27" s="5" t="n">
        <v>4.01</v>
      </c>
      <c r="O27" s="5" t="n">
        <v>2.2</v>
      </c>
      <c r="P27" s="5" t="n">
        <v>16.37</v>
      </c>
      <c r="Q27" s="5" t="n">
        <v>14.44</v>
      </c>
      <c r="R27" s="5" t="n">
        <v>14.28</v>
      </c>
      <c r="S27" s="5" t="n">
        <v>2451.61</v>
      </c>
      <c r="T27" s="5" t="n">
        <v>5.48</v>
      </c>
      <c r="U27" s="5" t="n">
        <v>19.61</v>
      </c>
      <c r="V27" s="5" t="n">
        <v>61.19</v>
      </c>
      <c r="W27" s="5" t="n">
        <v>72.12</v>
      </c>
      <c r="X27" s="5" t="n">
        <v>67.11</v>
      </c>
      <c r="Y27" s="5" t="n">
        <v>32.66</v>
      </c>
      <c r="Z27" s="5" t="n">
        <v>3.49</v>
      </c>
      <c r="AA27" s="5" t="n">
        <v>48.3</v>
      </c>
      <c r="AB27" s="5" t="n">
        <v>1.23</v>
      </c>
      <c r="AC27" s="5" t="n">
        <v>9.33</v>
      </c>
      <c r="AD27" s="5" t="n">
        <v>-3.78</v>
      </c>
      <c r="AE27" s="5" t="n">
        <v/>
      </c>
      <c r="AF27" s="5" t="n">
        <v>5.45</v>
      </c>
      <c r="AG27" s="5" t="n">
        <v/>
      </c>
    </row>
    <row r="28">
      <c r="A28" s="2" t="inlineStr">
        <is>
          <t>Driver</t>
        </is>
      </c>
      <c r="B28" s="2" t="inlineStr">
        <is>
          <t>02db1e99-179a-4bd7-957f-7248a03642d3</t>
        </is>
      </c>
      <c r="C28" s="2" t="inlineStr">
        <is>
          <t>2025-08-05 10:07:47</t>
        </is>
      </c>
      <c r="D28" s="3" t="n">
        <v>88.76000000000001</v>
      </c>
      <c r="E28" s="3" t="n">
        <v>129.28</v>
      </c>
      <c r="F28" s="3" t="n">
        <v>1.46</v>
      </c>
      <c r="G28" s="3" t="n">
        <v>162.09</v>
      </c>
      <c r="H28" s="3" t="n">
        <v>206.9</v>
      </c>
      <c r="I28" s="3" t="n">
        <v/>
      </c>
      <c r="J28" s="3" t="n">
        <v/>
      </c>
      <c r="K28" s="3" t="n">
        <v>1.2</v>
      </c>
      <c r="L28" s="3" t="n">
        <v>-5.61</v>
      </c>
      <c r="M28" s="3" t="n">
        <v>-6.81</v>
      </c>
      <c r="N28" s="3" t="n">
        <v>-4.14</v>
      </c>
      <c r="O28" s="3" t="n">
        <v>1.8</v>
      </c>
      <c r="P28" s="3" t="n">
        <v>8.4</v>
      </c>
      <c r="Q28" s="3" t="n">
        <v>7</v>
      </c>
      <c r="R28" s="3" t="n">
        <v>9.4</v>
      </c>
      <c r="S28" s="3" t="n">
        <v>2589</v>
      </c>
      <c r="T28" s="3" t="n">
        <v>-23.71</v>
      </c>
      <c r="U28" s="3" t="n">
        <v>-52.4</v>
      </c>
      <c r="V28" s="3" t="n">
        <v>-87.18000000000001</v>
      </c>
      <c r="W28" s="3" t="n">
        <v>-127.08</v>
      </c>
      <c r="X28" s="3" t="n">
        <v>24.91</v>
      </c>
      <c r="Y28" s="3" t="n">
        <v>16.42</v>
      </c>
      <c r="Z28" s="3" t="n">
        <v>2.5</v>
      </c>
      <c r="AA28" s="3" t="n">
        <v>46.5</v>
      </c>
      <c r="AB28" s="3" t="n">
        <v>1.4</v>
      </c>
      <c r="AC28" s="3" t="n">
        <v>-45.82</v>
      </c>
      <c r="AD28" s="3" t="n">
        <v>-3.62</v>
      </c>
      <c r="AE28" s="3" t="n">
        <v/>
      </c>
      <c r="AF28" s="3" t="n">
        <v>3.73</v>
      </c>
      <c r="AG28" s="3" t="n">
        <v/>
      </c>
    </row>
    <row r="29">
      <c r="A29" s="4" t="inlineStr">
        <is>
          <t>Driver</t>
        </is>
      </c>
      <c r="B29" s="4" t="inlineStr">
        <is>
          <t>c6415417-d31c-460e-826f-b808447cd136</t>
        </is>
      </c>
      <c r="C29" s="4" t="inlineStr">
        <is>
          <t>2025-08-05 10:08:19</t>
        </is>
      </c>
      <c r="D29" s="5" t="n">
        <v>88.36</v>
      </c>
      <c r="E29" s="5" t="n">
        <v>129.16</v>
      </c>
      <c r="F29" s="5" t="n">
        <v>1.46</v>
      </c>
      <c r="G29" s="5" t="n">
        <v>198.43</v>
      </c>
      <c r="H29" s="5" t="n">
        <v>220.56</v>
      </c>
      <c r="I29" s="5" t="n">
        <v/>
      </c>
      <c r="J29" s="5" t="n">
        <v/>
      </c>
      <c r="K29" s="5" t="n">
        <v>2.8</v>
      </c>
      <c r="L29" s="5" t="n">
        <v>-2.44</v>
      </c>
      <c r="M29" s="5" t="n">
        <v>-5.24</v>
      </c>
      <c r="N29" s="5" t="n">
        <v>-1.43</v>
      </c>
      <c r="O29" s="5" t="n">
        <v>2.6</v>
      </c>
      <c r="P29" s="5" t="n">
        <v>15.12</v>
      </c>
      <c r="Q29" s="5" t="n">
        <v>12.78</v>
      </c>
      <c r="R29" s="5" t="n">
        <v>13.42</v>
      </c>
      <c r="S29" s="5" t="n">
        <v>3254.92</v>
      </c>
      <c r="T29" s="5" t="n">
        <v>-13.56</v>
      </c>
      <c r="U29" s="5" t="n">
        <v>-58.67</v>
      </c>
      <c r="V29" s="5" t="n">
        <v>-73.47</v>
      </c>
      <c r="W29" s="5" t="n">
        <v>-87.7</v>
      </c>
      <c r="X29" s="5" t="n">
        <v>69.89</v>
      </c>
      <c r="Y29" s="5" t="n">
        <v>35.21</v>
      </c>
      <c r="Z29" s="5" t="n">
        <v>4.88</v>
      </c>
      <c r="AA29" s="5" t="n">
        <v>45.7</v>
      </c>
      <c r="AB29" s="5" t="n">
        <v>1.39</v>
      </c>
      <c r="AC29" s="5" t="n">
        <v>-21.97</v>
      </c>
      <c r="AD29" s="5" t="n">
        <v>-4.76</v>
      </c>
      <c r="AE29" s="5" t="n">
        <v/>
      </c>
      <c r="AF29" s="5" t="n">
        <v>5.68</v>
      </c>
      <c r="AG29" s="5" t="n">
        <v/>
      </c>
    </row>
    <row r="30">
      <c r="A30" s="2" t="inlineStr">
        <is>
          <t>Driver</t>
        </is>
      </c>
      <c r="B30" s="2" t="inlineStr">
        <is>
          <t>fa6eeccc-770a-4bae-85c2-9195fb9243e7</t>
        </is>
      </c>
      <c r="C30" s="2" t="inlineStr">
        <is>
          <t>2025-08-05 10:09:07</t>
        </is>
      </c>
      <c r="D30" s="3" t="n">
        <v>90.18000000000001</v>
      </c>
      <c r="E30" s="3" t="n">
        <v>133.12</v>
      </c>
      <c r="F30" s="3" t="n">
        <v>1.48</v>
      </c>
      <c r="G30" s="3" t="n">
        <v>212.28</v>
      </c>
      <c r="H30" s="3" t="n">
        <v>230.17</v>
      </c>
      <c r="I30" s="3" t="n">
        <v/>
      </c>
      <c r="J30" s="3" t="n">
        <v/>
      </c>
      <c r="K30" s="3" t="n">
        <v>4.6</v>
      </c>
      <c r="L30" s="3" t="n">
        <v>2.71</v>
      </c>
      <c r="M30" s="3" t="n">
        <v>-1.89</v>
      </c>
      <c r="N30" s="3" t="n">
        <v>3.04</v>
      </c>
      <c r="O30" s="3" t="n">
        <v>2.6</v>
      </c>
      <c r="P30" s="3" t="n">
        <v>17.71</v>
      </c>
      <c r="Q30" s="3" t="n">
        <v>15.25</v>
      </c>
      <c r="R30" s="3" t="n">
        <v>15.21</v>
      </c>
      <c r="S30" s="3" t="n">
        <v>3281</v>
      </c>
      <c r="T30" s="3" t="n">
        <v>-5.93</v>
      </c>
      <c r="U30" s="3" t="n">
        <v>-30.26</v>
      </c>
      <c r="V30" s="3" t="n">
        <v>3.49</v>
      </c>
      <c r="W30" s="3" t="n">
        <v>1.71</v>
      </c>
      <c r="X30" s="3" t="n">
        <v>94.73999999999999</v>
      </c>
      <c r="Y30" s="3" t="n">
        <v>41.65</v>
      </c>
      <c r="Z30" s="3" t="n">
        <v>6.82</v>
      </c>
      <c r="AA30" s="3" t="n">
        <v>43.88</v>
      </c>
      <c r="AB30" s="3" t="n">
        <v>1.31</v>
      </c>
      <c r="AC30" s="3" t="n">
        <v>-6.96</v>
      </c>
      <c r="AD30" s="3" t="n">
        <v>-4.53</v>
      </c>
      <c r="AE30" s="3" t="n">
        <v/>
      </c>
      <c r="AF30" s="3" t="n">
        <v>6.4</v>
      </c>
      <c r="AG30" s="3" t="n">
        <v/>
      </c>
    </row>
    <row r="31">
      <c r="A31" s="4" t="inlineStr">
        <is>
          <t>Driver</t>
        </is>
      </c>
      <c r="B31" s="4" t="inlineStr">
        <is>
          <t>45f18c7c-bf8d-4217-88eb-b792452cb495</t>
        </is>
      </c>
      <c r="C31" s="4" t="inlineStr">
        <is>
          <t>2025-08-05 10:10:07</t>
        </is>
      </c>
      <c r="D31" s="5" t="n">
        <v>88.33</v>
      </c>
      <c r="E31" s="5" t="n">
        <v>130.58</v>
      </c>
      <c r="F31" s="5" t="n">
        <v>1.48</v>
      </c>
      <c r="G31" s="5" t="n">
        <v>210.05</v>
      </c>
      <c r="H31" s="5" t="n">
        <v>237.65</v>
      </c>
      <c r="I31" s="5" t="n">
        <v/>
      </c>
      <c r="J31" s="5" t="n">
        <v/>
      </c>
      <c r="K31" s="5" t="n">
        <v>5</v>
      </c>
      <c r="L31" s="5" t="n">
        <v>1.31</v>
      </c>
      <c r="M31" s="5" t="n">
        <v>-3.69</v>
      </c>
      <c r="N31" s="5" t="n">
        <v>1.81</v>
      </c>
      <c r="O31" s="5" t="n">
        <v>3.6</v>
      </c>
      <c r="P31" s="5" t="n">
        <v>16.88</v>
      </c>
      <c r="Q31" s="5" t="n">
        <v>15.18</v>
      </c>
      <c r="R31" s="5" t="n">
        <v>13.69</v>
      </c>
      <c r="S31" s="5" t="n">
        <v>2299</v>
      </c>
      <c r="T31" s="5" t="n">
        <v>-9.970000000000001</v>
      </c>
      <c r="U31" s="5" t="n">
        <v>-37.68</v>
      </c>
      <c r="V31" s="5" t="n">
        <v>-17.77</v>
      </c>
      <c r="W31" s="5" t="n">
        <v>-24.8</v>
      </c>
      <c r="X31" s="5" t="n">
        <v>74.77</v>
      </c>
      <c r="Y31" s="5" t="n">
        <v>33.9</v>
      </c>
      <c r="Z31" s="5" t="n">
        <v>7.89</v>
      </c>
      <c r="AA31" s="5" t="n">
        <v>47.63</v>
      </c>
      <c r="AB31" s="5" t="n">
        <v>1.34</v>
      </c>
      <c r="AC31" s="5" t="n">
        <v>-15.09</v>
      </c>
      <c r="AD31" s="5" t="n">
        <v>-5.79</v>
      </c>
      <c r="AE31" s="5" t="n">
        <v/>
      </c>
      <c r="AF31" s="5" t="n">
        <v>5.68</v>
      </c>
      <c r="AG31" s="5" t="n">
        <v/>
      </c>
    </row>
    <row r="32">
      <c r="A32" s="2" t="inlineStr">
        <is>
          <t>Driver</t>
        </is>
      </c>
      <c r="B32" s="2" t="inlineStr">
        <is>
          <t>7165927c-d82f-47d5-a56c-bd280001e85a</t>
        </is>
      </c>
      <c r="C32" s="2" t="inlineStr">
        <is>
          <t>2025-08-05 10:11:01</t>
        </is>
      </c>
      <c r="D32" s="3" t="n">
        <v>88.92</v>
      </c>
      <c r="E32" s="3" t="n">
        <v>130.84</v>
      </c>
      <c r="F32" s="3" t="n">
        <v>1.47</v>
      </c>
      <c r="G32" s="3" t="n">
        <v>210.53</v>
      </c>
      <c r="H32" s="3" t="n">
        <v>235.78</v>
      </c>
      <c r="I32" s="3" t="n">
        <v/>
      </c>
      <c r="J32" s="3" t="n">
        <v/>
      </c>
      <c r="K32" s="3" t="n">
        <v>3.2</v>
      </c>
      <c r="L32" s="3" t="n">
        <v>1.36</v>
      </c>
      <c r="M32" s="3" t="n">
        <v>-1.83</v>
      </c>
      <c r="N32" s="3" t="n">
        <v>1.6</v>
      </c>
      <c r="O32" s="3" t="n">
        <v>1.6</v>
      </c>
      <c r="P32" s="3" t="n">
        <v>16.56</v>
      </c>
      <c r="Q32" s="3" t="n">
        <v>14.64</v>
      </c>
      <c r="R32" s="3" t="n">
        <v>15.01</v>
      </c>
      <c r="S32" s="3" t="n">
        <v>2511</v>
      </c>
      <c r="T32" s="3" t="n">
        <v>-4.62</v>
      </c>
      <c r="U32" s="3" t="n">
        <v>-18.81</v>
      </c>
      <c r="V32" s="3" t="n">
        <v>-1.18</v>
      </c>
      <c r="W32" s="3" t="n">
        <v>-3.43</v>
      </c>
      <c r="X32" s="3" t="n">
        <v>75.95999999999999</v>
      </c>
      <c r="Y32" s="3" t="n">
        <v>34.83</v>
      </c>
      <c r="Z32" s="3" t="n">
        <v>4.22</v>
      </c>
      <c r="AA32" s="3" t="n">
        <v>45.63</v>
      </c>
      <c r="AB32" s="3" t="n">
        <v>1.34</v>
      </c>
      <c r="AC32" s="3" t="n">
        <v>-6.44</v>
      </c>
      <c r="AD32" s="3" t="n">
        <v>-3.23</v>
      </c>
      <c r="AE32" s="3" t="n">
        <v/>
      </c>
      <c r="AF32" s="3" t="n">
        <v>5.8</v>
      </c>
      <c r="AG32" s="3" t="n">
        <v/>
      </c>
    </row>
    <row r="33">
      <c r="A33" s="4" t="inlineStr">
        <is>
          <t>Driver</t>
        </is>
      </c>
      <c r="B33" s="4" t="inlineStr">
        <is>
          <t>48bb67f8-5df5-45b9-8db3-3619f6e0af55</t>
        </is>
      </c>
      <c r="C33" s="4" t="inlineStr">
        <is>
          <t>2025-08-05 10:11:58</t>
        </is>
      </c>
      <c r="D33" s="5" t="n">
        <v>87.73</v>
      </c>
      <c r="E33" s="5" t="n">
        <v>130.44</v>
      </c>
      <c r="F33" s="5" t="n">
        <v>1.49</v>
      </c>
      <c r="G33" s="5" t="n">
        <v>175.08</v>
      </c>
      <c r="H33" s="5" t="n">
        <v>216.98</v>
      </c>
      <c r="I33" s="5" t="n">
        <v/>
      </c>
      <c r="J33" s="5" t="n">
        <v/>
      </c>
      <c r="K33" s="5" t="n">
        <v>5</v>
      </c>
      <c r="L33" s="5" t="n">
        <v>-2.38</v>
      </c>
      <c r="M33" s="5" t="n">
        <v>-7.38</v>
      </c>
      <c r="N33" s="5" t="n">
        <v>-1.14</v>
      </c>
      <c r="O33" s="5" t="n">
        <v>2</v>
      </c>
      <c r="P33" s="5" t="n">
        <v>10.11</v>
      </c>
      <c r="Q33" s="5" t="n">
        <v>8.75</v>
      </c>
      <c r="R33" s="5" t="n">
        <v>10.96</v>
      </c>
      <c r="S33" s="5" t="n">
        <v>2381</v>
      </c>
      <c r="T33" s="5" t="n">
        <v>-22.75</v>
      </c>
      <c r="U33" s="5" t="n">
        <v>-55.92</v>
      </c>
      <c r="V33" s="5" t="n">
        <v>-66.25</v>
      </c>
      <c r="W33" s="5" t="n">
        <v>-96.65000000000001</v>
      </c>
      <c r="X33" s="5" t="n">
        <v>33.1</v>
      </c>
      <c r="Y33" s="5" t="n">
        <v>19.67</v>
      </c>
      <c r="Z33" s="5" t="n">
        <v>6.01</v>
      </c>
      <c r="AA33" s="5" t="n">
        <v>50.95</v>
      </c>
      <c r="AB33" s="5" t="n">
        <v>1.27</v>
      </c>
      <c r="AC33" s="5" t="n">
        <v>-41.26</v>
      </c>
      <c r="AD33" s="5" t="n">
        <v>-3.31</v>
      </c>
      <c r="AE33" s="5" t="n">
        <v/>
      </c>
      <c r="AF33" s="5" t="n">
        <v>4.1</v>
      </c>
      <c r="AG33" s="5" t="n">
        <v/>
      </c>
    </row>
    <row r="34">
      <c r="A34" s="2" t="inlineStr">
        <is>
          <t>Driver</t>
        </is>
      </c>
      <c r="B34" s="2" t="inlineStr">
        <is>
          <t>a527a36a-a676-45f9-9dd1-fe3473965fda</t>
        </is>
      </c>
      <c r="C34" s="2" t="inlineStr">
        <is>
          <t>2025-08-05 10:12:56</t>
        </is>
      </c>
      <c r="D34" s="3" t="n">
        <v>86.97</v>
      </c>
      <c r="E34" s="3" t="n">
        <v>126.15</v>
      </c>
      <c r="F34" s="3" t="n">
        <v>1.45</v>
      </c>
      <c r="G34" s="3" t="n">
        <v>196.79</v>
      </c>
      <c r="H34" s="3" t="n">
        <v>223.27</v>
      </c>
      <c r="I34" s="3" t="n">
        <v/>
      </c>
      <c r="J34" s="3" t="n">
        <v/>
      </c>
      <c r="K34" s="3" t="n">
        <v>3.4</v>
      </c>
      <c r="L34" s="3" t="n">
        <v>-3.34</v>
      </c>
      <c r="M34" s="3" t="n">
        <v>-6.74</v>
      </c>
      <c r="N34" s="3" t="n">
        <v>-2.44</v>
      </c>
      <c r="O34" s="3" t="n">
        <v>2</v>
      </c>
      <c r="P34" s="3" t="n">
        <v>16.51</v>
      </c>
      <c r="Q34" s="3" t="n">
        <v>14.66</v>
      </c>
      <c r="R34" s="3" t="n">
        <v>15.94</v>
      </c>
      <c r="S34" s="3" t="n">
        <v>2553.94</v>
      </c>
      <c r="T34" s="3" t="n">
        <v>-15.47</v>
      </c>
      <c r="U34" s="3" t="n">
        <v>-55.93</v>
      </c>
      <c r="V34" s="3" t="n">
        <v>-80.93000000000001</v>
      </c>
      <c r="W34" s="3" t="n">
        <v>-99.04000000000001</v>
      </c>
      <c r="X34" s="3" t="n">
        <v>67.62</v>
      </c>
      <c r="Y34" s="3" t="n">
        <v>32.94</v>
      </c>
      <c r="Z34" s="3" t="n">
        <v>4.61</v>
      </c>
      <c r="AA34" s="3" t="n">
        <v>49.76</v>
      </c>
      <c r="AB34" s="3" t="n">
        <v>1.41</v>
      </c>
      <c r="AC34" s="3" t="n">
        <v>-24.03</v>
      </c>
      <c r="AD34" s="3" t="n">
        <v>-3.7</v>
      </c>
      <c r="AE34" s="3" t="n">
        <v/>
      </c>
      <c r="AF34" s="3" t="n">
        <v>5.45</v>
      </c>
      <c r="AG34" s="3" t="n">
        <v/>
      </c>
    </row>
    <row r="35">
      <c r="A35" s="4" t="inlineStr">
        <is>
          <t>Driver</t>
        </is>
      </c>
      <c r="B35" s="4" t="inlineStr">
        <is>
          <t>8548c2e5-e862-469a-85d5-2911252a0605</t>
        </is>
      </c>
      <c r="C35" s="4" t="inlineStr">
        <is>
          <t>2025-08-05 10:13:43</t>
        </is>
      </c>
      <c r="D35" s="5" t="n">
        <v>86.11</v>
      </c>
      <c r="E35" s="5" t="n">
        <v>124.35</v>
      </c>
      <c r="F35" s="5" t="n">
        <v>1.44</v>
      </c>
      <c r="G35" s="5" t="n">
        <v>191.58</v>
      </c>
      <c r="H35" s="5" t="n">
        <v>225.58</v>
      </c>
      <c r="I35" s="5" t="n">
        <v/>
      </c>
      <c r="J35" s="5" t="n">
        <v/>
      </c>
      <c r="K35" s="5" t="n">
        <v>3.3</v>
      </c>
      <c r="L35" s="5" t="n">
        <v>0.1</v>
      </c>
      <c r="M35" s="5" t="n">
        <v>-3.2</v>
      </c>
      <c r="N35" s="5" t="n">
        <v>0.43</v>
      </c>
      <c r="O35" s="5" t="n">
        <v>2.7</v>
      </c>
      <c r="P35" s="5" t="n">
        <v>16.5</v>
      </c>
      <c r="Q35" s="5" t="n">
        <v>15.07</v>
      </c>
      <c r="R35" s="5" t="n">
        <v>14.22</v>
      </c>
      <c r="S35" s="5" t="n">
        <v>1809</v>
      </c>
      <c r="T35" s="5" t="n">
        <v>-8.710000000000001</v>
      </c>
      <c r="U35" s="5" t="n">
        <v>-23.09</v>
      </c>
      <c r="V35" s="5" t="n">
        <v>-18.75</v>
      </c>
      <c r="W35" s="5" t="n">
        <v>-26.06</v>
      </c>
      <c r="X35" s="5" t="n">
        <v>59.52</v>
      </c>
      <c r="Y35" s="5" t="n">
        <v>29.06</v>
      </c>
      <c r="Z35" s="5" t="n">
        <v>5.01</v>
      </c>
      <c r="AA35" s="5" t="n">
        <v>55.5</v>
      </c>
      <c r="AB35" s="5" t="n">
        <v>1.45</v>
      </c>
      <c r="AC35" s="5" t="n">
        <v>-12.25</v>
      </c>
      <c r="AD35" s="5" t="n">
        <v>-3.15</v>
      </c>
      <c r="AE35" s="5" t="n">
        <v/>
      </c>
      <c r="AF35" s="5" t="n">
        <v>4.94</v>
      </c>
      <c r="AG35" s="5" t="n">
        <v/>
      </c>
    </row>
    <row r="36">
      <c r="A36" s="2" t="inlineStr">
        <is>
          <t>7Iron</t>
        </is>
      </c>
      <c r="B36" s="2" t="inlineStr">
        <is>
          <t>fd490767-f215-489d-98bb-07dc1fd1b758</t>
        </is>
      </c>
      <c r="C36" s="2" t="inlineStr">
        <is>
          <t>2025-08-05 09:48:28</t>
        </is>
      </c>
      <c r="D36" s="3" t="n">
        <v>72</v>
      </c>
      <c r="E36" s="3" t="n">
        <v>92.25</v>
      </c>
      <c r="F36" s="3" t="n">
        <v>1.28</v>
      </c>
      <c r="G36" s="3" t="n">
        <v>124.28</v>
      </c>
      <c r="H36" s="3" t="n">
        <v>143.25</v>
      </c>
      <c r="I36" s="3" t="n">
        <v>8.039999999999999</v>
      </c>
      <c r="J36" s="3" t="n">
        <v>9.619999999999999</v>
      </c>
      <c r="K36" s="3" t="n">
        <v>4.4</v>
      </c>
      <c r="L36" s="3" t="n">
        <v>-2.07</v>
      </c>
      <c r="M36" s="3" t="n">
        <v>-6.47</v>
      </c>
      <c r="N36" s="3" t="n">
        <v>-0.96</v>
      </c>
      <c r="O36" s="3" t="n">
        <v>-1.2</v>
      </c>
      <c r="P36" s="3" t="n">
        <v>22.95</v>
      </c>
      <c r="Q36" s="3" t="n">
        <v>19.14</v>
      </c>
      <c r="R36" s="3" t="n">
        <v>25.12</v>
      </c>
      <c r="S36" s="3" t="n">
        <v>3622.37</v>
      </c>
      <c r="T36" s="3" t="n">
        <v>-12.73</v>
      </c>
      <c r="U36" s="3" t="n">
        <v>-26.36</v>
      </c>
      <c r="V36" s="3" t="n">
        <v>-32.58</v>
      </c>
      <c r="W36" s="3" t="n">
        <v>-40.92</v>
      </c>
      <c r="X36" s="3" t="n">
        <v>50.54</v>
      </c>
      <c r="Y36" s="3" t="n">
        <v>34.99</v>
      </c>
      <c r="Z36" s="3" t="n">
        <v>3.88</v>
      </c>
      <c r="AA36" s="3" t="n">
        <v>71.45999999999999</v>
      </c>
      <c r="AB36" s="3" t="n">
        <v>1.13</v>
      </c>
      <c r="AC36" s="3" t="n">
        <v>-14.11</v>
      </c>
      <c r="AD36" s="3" t="n">
        <v>0.98</v>
      </c>
      <c r="AE36" s="3" t="n">
        <v/>
      </c>
      <c r="AF36" s="3" t="n">
        <v>4.43</v>
      </c>
      <c r="AG36" s="3" t="n">
        <v>65.43000000000001</v>
      </c>
    </row>
    <row r="37">
      <c r="A37" s="4" t="inlineStr">
        <is>
          <t>7Iron</t>
        </is>
      </c>
      <c r="B37" s="4" t="inlineStr">
        <is>
          <t>88d840d7-826e-4f5a-81d3-25555909a553</t>
        </is>
      </c>
      <c r="C37" s="4" t="inlineStr">
        <is>
          <t>2025-08-05 09:48:43</t>
        </is>
      </c>
      <c r="D37" s="5" t="n">
        <v>73.65000000000001</v>
      </c>
      <c r="E37" s="5" t="n">
        <v>96</v>
      </c>
      <c r="F37" s="5" t="n">
        <v>1.3</v>
      </c>
      <c r="G37" s="5" t="n">
        <v>132.04</v>
      </c>
      <c r="H37" s="5" t="n">
        <v>143.5</v>
      </c>
      <c r="I37" s="5" t="n">
        <v>7.2</v>
      </c>
      <c r="J37" s="5" t="n">
        <v>-11.61</v>
      </c>
      <c r="K37" s="5" t="n">
        <v>1.2</v>
      </c>
      <c r="L37" s="5" t="n">
        <v>3.6</v>
      </c>
      <c r="M37" s="5" t="n">
        <v>2.4</v>
      </c>
      <c r="N37" s="5" t="n">
        <v>3.13</v>
      </c>
      <c r="O37" s="5" t="n">
        <v>-2</v>
      </c>
      <c r="P37" s="5" t="n">
        <v>27.24</v>
      </c>
      <c r="Q37" s="5" t="n">
        <v>22.32</v>
      </c>
      <c r="R37" s="5" t="n">
        <v>29.49</v>
      </c>
      <c r="S37" s="5" t="n">
        <v>4703.24</v>
      </c>
      <c r="T37" s="5" t="n">
        <v>4.12</v>
      </c>
      <c r="U37" s="5" t="n">
        <v>11.24</v>
      </c>
      <c r="V37" s="5" t="n">
        <v>32.87</v>
      </c>
      <c r="W37" s="5" t="n">
        <v>36.39</v>
      </c>
      <c r="X37" s="5" t="n">
        <v>71.67</v>
      </c>
      <c r="Y37" s="5" t="n">
        <v>43.68</v>
      </c>
      <c r="Z37" s="5" t="n">
        <v>0.07000000000000001</v>
      </c>
      <c r="AA37" s="5" t="n">
        <v>65.25</v>
      </c>
      <c r="AB37" s="5" t="n">
        <v>1.11</v>
      </c>
      <c r="AC37" s="5" t="n">
        <v>4.47</v>
      </c>
      <c r="AD37" s="5" t="n">
        <v>1.73</v>
      </c>
      <c r="AE37" s="5" t="n">
        <v/>
      </c>
      <c r="AF37" s="5" t="n">
        <v>5.18</v>
      </c>
      <c r="AG37" s="5" t="n">
        <v>65.98</v>
      </c>
    </row>
    <row r="38">
      <c r="A38" s="2" t="inlineStr">
        <is>
          <t>7Iron</t>
        </is>
      </c>
      <c r="B38" s="2" t="inlineStr">
        <is>
          <t>78d893c1-7229-4cdd-a5d8-deda6e8630b9</t>
        </is>
      </c>
      <c r="C38" s="2" t="inlineStr">
        <is>
          <t>2025-08-05 09:48:58</t>
        </is>
      </c>
      <c r="D38" s="3" t="n">
        <v>72.88</v>
      </c>
      <c r="E38" s="3" t="n">
        <v>99</v>
      </c>
      <c r="F38" s="3" t="n">
        <v>1.36</v>
      </c>
      <c r="G38" s="3" t="n">
        <v>137.98</v>
      </c>
      <c r="H38" s="3" t="n">
        <v>152.52</v>
      </c>
      <c r="I38" s="3" t="n">
        <v>5.68</v>
      </c>
      <c r="J38" s="3" t="n">
        <v>-11.36</v>
      </c>
      <c r="K38" s="3" t="n">
        <v>2.8</v>
      </c>
      <c r="L38" s="3" t="n">
        <v>-2.48</v>
      </c>
      <c r="M38" s="3" t="n">
        <v>-5.28</v>
      </c>
      <c r="N38" s="3" t="n">
        <v>-1.52</v>
      </c>
      <c r="O38" s="3" t="n">
        <v>-1.8</v>
      </c>
      <c r="P38" s="3" t="n">
        <v>23.94</v>
      </c>
      <c r="Q38" s="3" t="n">
        <v>19.66</v>
      </c>
      <c r="R38" s="3" t="n">
        <v>26.38</v>
      </c>
      <c r="S38" s="3" t="n">
        <v>4298.15</v>
      </c>
      <c r="T38" s="3" t="n">
        <v>-9.75</v>
      </c>
      <c r="U38" s="3" t="n">
        <v>-26.94</v>
      </c>
      <c r="V38" s="3" t="n">
        <v>-37.87</v>
      </c>
      <c r="W38" s="3" t="n">
        <v>-44.05</v>
      </c>
      <c r="X38" s="3" t="n">
        <v>64.7</v>
      </c>
      <c r="Y38" s="3" t="n">
        <v>39.96</v>
      </c>
      <c r="Z38" s="3" t="n">
        <v>1.91</v>
      </c>
      <c r="AA38" s="3" t="n">
        <v>67.09999999999999</v>
      </c>
      <c r="AB38" s="3" t="n">
        <v>1.2</v>
      </c>
      <c r="AC38" s="3" t="n">
        <v>-10.85</v>
      </c>
      <c r="AD38" s="3" t="n">
        <v>1.61</v>
      </c>
      <c r="AE38" s="3" t="n">
        <v/>
      </c>
      <c r="AF38" s="3" t="n">
        <v>5.04</v>
      </c>
      <c r="AG38" s="3" t="n">
        <v>66.12</v>
      </c>
    </row>
    <row r="39">
      <c r="A39" s="4" t="inlineStr">
        <is>
          <t>7Iron</t>
        </is>
      </c>
      <c r="B39" s="4" t="inlineStr">
        <is>
          <t>e88a86b3-0351-4dfe-85c6-38ff9378a464</t>
        </is>
      </c>
      <c r="C39" s="4" t="inlineStr">
        <is>
          <t>2025-08-05 09:49:17</t>
        </is>
      </c>
      <c r="D39" s="5" t="n">
        <v>73.34999999999999</v>
      </c>
      <c r="E39" s="5" t="n">
        <v>97.06999999999999</v>
      </c>
      <c r="F39" s="5" t="n">
        <v>1.32</v>
      </c>
      <c r="G39" s="5" t="n">
        <v>134.51</v>
      </c>
      <c r="H39" s="5" t="n">
        <v>148.21</v>
      </c>
      <c r="I39" s="5" t="n">
        <v>7.2</v>
      </c>
      <c r="J39" s="5" t="n">
        <v>-16.49</v>
      </c>
      <c r="K39" s="5" t="n">
        <v>2.6</v>
      </c>
      <c r="L39" s="5" t="n">
        <v>-0.63</v>
      </c>
      <c r="M39" s="5" t="n">
        <v>-3.23</v>
      </c>
      <c r="N39" s="5" t="n">
        <v>-0.01</v>
      </c>
      <c r="O39" s="5" t="n">
        <v>-1.4</v>
      </c>
      <c r="P39" s="5" t="n">
        <v>25.02</v>
      </c>
      <c r="Q39" s="5" t="n">
        <v>20.5</v>
      </c>
      <c r="R39" s="5" t="n">
        <v>26.7</v>
      </c>
      <c r="S39" s="5" t="n">
        <v>4389</v>
      </c>
      <c r="T39" s="5" t="n">
        <v>-5.93</v>
      </c>
      <c r="U39" s="5" t="n">
        <v>-15.93</v>
      </c>
      <c r="V39" s="5" t="n">
        <v>-16.03</v>
      </c>
      <c r="W39" s="5" t="n">
        <v>-18.87</v>
      </c>
      <c r="X39" s="5" t="n">
        <v>65.62</v>
      </c>
      <c r="Y39" s="5" t="n">
        <v>40.88</v>
      </c>
      <c r="Z39" s="5" t="n">
        <v>1.96</v>
      </c>
      <c r="AA39" s="5" t="n">
        <v>66.73999999999999</v>
      </c>
      <c r="AB39" s="5" t="n">
        <v>1.18</v>
      </c>
      <c r="AC39" s="5" t="n">
        <v>-6.63</v>
      </c>
      <c r="AD39" s="5" t="n">
        <v>1.22</v>
      </c>
      <c r="AE39" s="5" t="n">
        <v/>
      </c>
      <c r="AF39" s="5" t="n">
        <v>5.04</v>
      </c>
      <c r="AG39" s="5" t="n">
        <v>65.03</v>
      </c>
    </row>
    <row r="40">
      <c r="A40" s="2" t="inlineStr">
        <is>
          <t>7Iron</t>
        </is>
      </c>
      <c r="B40" s="2" t="inlineStr">
        <is>
          <t>ccfa3fa1-b5f4-4975-8b1c-5f5e70a868f5</t>
        </is>
      </c>
      <c r="C40" s="2" t="inlineStr">
        <is>
          <t>2025-08-05 09:49:34</t>
        </is>
      </c>
      <c r="D40" s="3" t="n">
        <v>74.45</v>
      </c>
      <c r="E40" s="3" t="n">
        <v>99.95999999999999</v>
      </c>
      <c r="F40" s="3" t="n">
        <v>1.34</v>
      </c>
      <c r="G40" s="3" t="n">
        <v>138.34</v>
      </c>
      <c r="H40" s="3" t="n">
        <v>152.16</v>
      </c>
      <c r="I40" s="3" t="n">
        <v>3.35</v>
      </c>
      <c r="J40" s="3" t="n">
        <v>-15.48</v>
      </c>
      <c r="K40" s="3" t="n">
        <v>2.8</v>
      </c>
      <c r="L40" s="3" t="n">
        <v>-1.61</v>
      </c>
      <c r="M40" s="3" t="n">
        <v>-4.41</v>
      </c>
      <c r="N40" s="3" t="n">
        <v>-0.76</v>
      </c>
      <c r="O40" s="3" t="n">
        <v>-2.8</v>
      </c>
      <c r="P40" s="3" t="n">
        <v>23.42</v>
      </c>
      <c r="Q40" s="3" t="n">
        <v>18.8</v>
      </c>
      <c r="R40" s="3" t="n">
        <v>26.68</v>
      </c>
      <c r="S40" s="3" t="n">
        <v>4644.61</v>
      </c>
      <c r="T40" s="3" t="n">
        <v>-8.02</v>
      </c>
      <c r="U40" s="3" t="n">
        <v>-22.93</v>
      </c>
      <c r="V40" s="3" t="n">
        <v>-28.4</v>
      </c>
      <c r="W40" s="3" t="n">
        <v>-33.01</v>
      </c>
      <c r="X40" s="3" t="n">
        <v>63.79</v>
      </c>
      <c r="Y40" s="3" t="n">
        <v>39.9</v>
      </c>
      <c r="Z40" s="3" t="n">
        <v>1.38</v>
      </c>
      <c r="AA40" s="3" t="n">
        <v>64.3</v>
      </c>
      <c r="AB40" s="3" t="n">
        <v>1.2</v>
      </c>
      <c r="AC40" s="3" t="n">
        <v>-9.1</v>
      </c>
      <c r="AD40" s="3" t="n">
        <v>2.6</v>
      </c>
      <c r="AE40" s="3" t="n">
        <v/>
      </c>
      <c r="AF40" s="3" t="n">
        <v>5.05</v>
      </c>
      <c r="AG40" s="3" t="n">
        <v>65.78</v>
      </c>
    </row>
    <row r="41">
      <c r="A41" s="4" t="inlineStr">
        <is>
          <t>7Iron</t>
        </is>
      </c>
      <c r="B41" s="4" t="inlineStr">
        <is>
          <t>f268b8d1-547b-4d92-8a88-ea1aeebe1c9a</t>
        </is>
      </c>
      <c r="C41" s="4" t="inlineStr">
        <is>
          <t>2025-08-05 09:49:54</t>
        </is>
      </c>
      <c r="D41" s="5" t="n">
        <v>73.41</v>
      </c>
      <c r="E41" s="5" t="n">
        <v>101.78</v>
      </c>
      <c r="F41" s="5" t="n">
        <v>1.39</v>
      </c>
      <c r="G41" s="5" t="n">
        <v>142.34</v>
      </c>
      <c r="H41" s="5" t="n">
        <v>155.63</v>
      </c>
      <c r="I41" s="5" t="n">
        <v>7.33</v>
      </c>
      <c r="J41" s="5" t="n">
        <v>-1.72</v>
      </c>
      <c r="K41" s="5" t="n">
        <v>3.2</v>
      </c>
      <c r="L41" s="5" t="n">
        <v>-2.44</v>
      </c>
      <c r="M41" s="5" t="n">
        <v>-5.64</v>
      </c>
      <c r="N41" s="5" t="n">
        <v>-1.4</v>
      </c>
      <c r="O41" s="5" t="n">
        <v>-2</v>
      </c>
      <c r="P41" s="5" t="n">
        <v>23.86</v>
      </c>
      <c r="Q41" s="5" t="n">
        <v>19.41</v>
      </c>
      <c r="R41" s="5" t="n">
        <v>26.49</v>
      </c>
      <c r="S41" s="5" t="n">
        <v>4603.26</v>
      </c>
      <c r="T41" s="5" t="n">
        <v>-10.34</v>
      </c>
      <c r="U41" s="5" t="n">
        <v>-31.25</v>
      </c>
      <c r="V41" s="5" t="n">
        <v>-41.62</v>
      </c>
      <c r="W41" s="5" t="n">
        <v>-47.71</v>
      </c>
      <c r="X41" s="5" t="n">
        <v>68.84</v>
      </c>
      <c r="Y41" s="5" t="n">
        <v>41.23</v>
      </c>
      <c r="Z41" s="5" t="n">
        <v>2.05</v>
      </c>
      <c r="AA41" s="5" t="n">
        <v>63.93</v>
      </c>
      <c r="AB41" s="5" t="n">
        <v>1.21</v>
      </c>
      <c r="AC41" s="5" t="n">
        <v>-11.45</v>
      </c>
      <c r="AD41" s="5" t="n">
        <v>1.85</v>
      </c>
      <c r="AE41" s="5" t="n">
        <v/>
      </c>
      <c r="AF41" s="5" t="n">
        <v>5.21</v>
      </c>
      <c r="AG41" s="5" t="n">
        <v>65.45</v>
      </c>
    </row>
    <row r="42">
      <c r="A42" s="2" t="inlineStr">
        <is>
          <t>7Iron</t>
        </is>
      </c>
      <c r="B42" s="2" t="inlineStr">
        <is>
          <t>72dd437e-7fef-46c0-8720-f9462984f540</t>
        </is>
      </c>
      <c r="C42" s="2" t="inlineStr">
        <is>
          <t>2025-08-05 09:50:36</t>
        </is>
      </c>
      <c r="D42" s="3" t="n">
        <v>73.73999999999999</v>
      </c>
      <c r="E42" s="3" t="n">
        <v>102.41</v>
      </c>
      <c r="F42" s="3" t="n">
        <v>1.39</v>
      </c>
      <c r="G42" s="3" t="n">
        <v>143.9</v>
      </c>
      <c r="H42" s="3" t="n">
        <v>155.71</v>
      </c>
      <c r="I42" s="3" t="n">
        <v>6.79</v>
      </c>
      <c r="J42" s="3" t="n">
        <v>-1.11</v>
      </c>
      <c r="K42" s="3" t="n">
        <v>2.8</v>
      </c>
      <c r="L42" s="3" t="n">
        <v>0.38</v>
      </c>
      <c r="M42" s="3" t="n">
        <v>-2.42</v>
      </c>
      <c r="N42" s="3" t="n">
        <v>0.84</v>
      </c>
      <c r="O42" s="3" t="n">
        <v>-2.2</v>
      </c>
      <c r="P42" s="3" t="n">
        <v>25.02</v>
      </c>
      <c r="Q42" s="3" t="n">
        <v>20.37</v>
      </c>
      <c r="R42" s="3" t="n">
        <v>27.47</v>
      </c>
      <c r="S42" s="3" t="n">
        <v>4739</v>
      </c>
      <c r="T42" s="3" t="n">
        <v>-4.32</v>
      </c>
      <c r="U42" s="3" t="n">
        <v>-13.73</v>
      </c>
      <c r="V42" s="3" t="n">
        <v>-7.41</v>
      </c>
      <c r="W42" s="3" t="n">
        <v>-8.81</v>
      </c>
      <c r="X42" s="3" t="n">
        <v>75.18000000000001</v>
      </c>
      <c r="Y42" s="3" t="n">
        <v>43.45</v>
      </c>
      <c r="Z42" s="3" t="n">
        <v>1.69</v>
      </c>
      <c r="AA42" s="3" t="n">
        <v>65.73999999999999</v>
      </c>
      <c r="AB42" s="3" t="n">
        <v>1.13</v>
      </c>
      <c r="AC42" s="3" t="n">
        <v>-4.76</v>
      </c>
      <c r="AD42" s="3" t="n">
        <v>1.93</v>
      </c>
      <c r="AE42" s="3" t="n">
        <v/>
      </c>
      <c r="AF42" s="3" t="n">
        <v>5.4</v>
      </c>
      <c r="AG42" s="3" t="n">
        <v>66.69</v>
      </c>
    </row>
    <row r="43">
      <c r="A43" s="4" t="inlineStr">
        <is>
          <t>7Iron</t>
        </is>
      </c>
      <c r="B43" s="4" t="inlineStr">
        <is>
          <t>a3ea018e-3fc6-4995-88dc-a160038533f0</t>
        </is>
      </c>
      <c r="C43" s="4" t="inlineStr">
        <is>
          <t>2025-08-05 09:50:57</t>
        </is>
      </c>
      <c r="D43" s="5" t="n">
        <v>74.39</v>
      </c>
      <c r="E43" s="5" t="n">
        <v>97.41</v>
      </c>
      <c r="F43" s="5" t="n">
        <v>1.31</v>
      </c>
      <c r="G43" s="5" t="n">
        <v>137.1</v>
      </c>
      <c r="H43" s="5" t="n">
        <v>153.37</v>
      </c>
      <c r="I43" s="5" t="n">
        <v>6.77</v>
      </c>
      <c r="J43" s="5" t="n">
        <v>-10.83</v>
      </c>
      <c r="K43" s="5" t="n">
        <v>6.2</v>
      </c>
      <c r="L43" s="5" t="n">
        <v>0.75</v>
      </c>
      <c r="M43" s="5" t="n">
        <v>-5.45</v>
      </c>
      <c r="N43" s="5" t="n">
        <v>1.67</v>
      </c>
      <c r="O43" s="5" t="n">
        <v>-0.2</v>
      </c>
      <c r="P43" s="5" t="n">
        <v>24.25</v>
      </c>
      <c r="Q43" s="5" t="n">
        <v>20.5</v>
      </c>
      <c r="R43" s="5" t="n">
        <v>25.13</v>
      </c>
      <c r="S43" s="5" t="n">
        <v>3723.08</v>
      </c>
      <c r="T43" s="5" t="n">
        <v>-10.66</v>
      </c>
      <c r="U43" s="5" t="n">
        <v>-27.39</v>
      </c>
      <c r="V43" s="5" t="n">
        <v>-15.42</v>
      </c>
      <c r="W43" s="5" t="n">
        <v>-19.77</v>
      </c>
      <c r="X43" s="5" t="n">
        <v>64.06999999999999</v>
      </c>
      <c r="Y43" s="5" t="n">
        <v>39.27</v>
      </c>
      <c r="Z43" s="5" t="n">
        <v>6.06</v>
      </c>
      <c r="AA43" s="5" t="n">
        <v>71.81999999999999</v>
      </c>
      <c r="AB43" s="5" t="n">
        <v>1.11</v>
      </c>
      <c r="AC43" s="5" t="n">
        <v>-11.81</v>
      </c>
      <c r="AD43" s="5" t="n">
        <v>0.12</v>
      </c>
      <c r="AE43" s="5" t="n">
        <v/>
      </c>
      <c r="AF43" s="5" t="n">
        <v>4.96</v>
      </c>
      <c r="AG43" s="5" t="n">
        <v>66.73</v>
      </c>
    </row>
    <row r="44">
      <c r="A44" s="2" t="inlineStr">
        <is>
          <t>7Iron</t>
        </is>
      </c>
      <c r="B44" s="2" t="inlineStr">
        <is>
          <t>afe2f1b5-afd9-40f2-b01b-1b4aad1f7ada</t>
        </is>
      </c>
      <c r="C44" s="2" t="inlineStr">
        <is>
          <t>2025-08-05 09:51:16</t>
        </is>
      </c>
      <c r="D44" s="3" t="n">
        <v>74.73</v>
      </c>
      <c r="E44" s="3" t="n">
        <v>99.98999999999999</v>
      </c>
      <c r="F44" s="3" t="n">
        <v>1.34</v>
      </c>
      <c r="G44" s="3" t="n">
        <v>141.15</v>
      </c>
      <c r="H44" s="3" t="n">
        <v>157.13</v>
      </c>
      <c r="I44" s="3" t="n">
        <v>10.29</v>
      </c>
      <c r="J44" s="3" t="n">
        <v>-0.84</v>
      </c>
      <c r="K44" s="3" t="n">
        <v>5.4</v>
      </c>
      <c r="L44" s="3" t="n">
        <v>-1.05</v>
      </c>
      <c r="M44" s="3" t="n">
        <v>-6.45</v>
      </c>
      <c r="N44" s="3" t="n">
        <v>0.04</v>
      </c>
      <c r="O44" s="3" t="n">
        <v>-0.6</v>
      </c>
      <c r="P44" s="3" t="n">
        <v>23.53</v>
      </c>
      <c r="Q44" s="3" t="n">
        <v>19.73</v>
      </c>
      <c r="R44" s="3" t="n">
        <v>25.01</v>
      </c>
      <c r="S44" s="3" t="n">
        <v>3897.83</v>
      </c>
      <c r="T44" s="3" t="n">
        <v>-12.63</v>
      </c>
      <c r="U44" s="3" t="n">
        <v>-34.75</v>
      </c>
      <c r="V44" s="3" t="n">
        <v>-34.43</v>
      </c>
      <c r="W44" s="3" t="n">
        <v>-41.41</v>
      </c>
      <c r="X44" s="3" t="n">
        <v>65.17</v>
      </c>
      <c r="Y44" s="3" t="n">
        <v>39.31</v>
      </c>
      <c r="Z44" s="3" t="n">
        <v>5.03</v>
      </c>
      <c r="AA44" s="3" t="n">
        <v>70.47</v>
      </c>
      <c r="AB44" s="3" t="n">
        <v>1.14</v>
      </c>
      <c r="AC44" s="3" t="n">
        <v>-13.95</v>
      </c>
      <c r="AD44" s="3" t="n">
        <v>0.43</v>
      </c>
      <c r="AE44" s="3" t="n">
        <v/>
      </c>
      <c r="AF44" s="3" t="n">
        <v>5.04</v>
      </c>
      <c r="AG44" s="3" t="n">
        <v>66.2</v>
      </c>
    </row>
    <row r="45">
      <c r="A45" s="4" t="inlineStr">
        <is>
          <t>7Iron</t>
        </is>
      </c>
      <c r="B45" s="4" t="inlineStr">
        <is>
          <t>61e49725-b9a3-4a02-8bf6-0c9a3d5823e5</t>
        </is>
      </c>
      <c r="C45" s="4" t="inlineStr">
        <is>
          <t>2025-08-05 09:51:36</t>
        </is>
      </c>
      <c r="D45" s="5" t="n">
        <v>74.25</v>
      </c>
      <c r="E45" s="5" t="n">
        <v>95.7</v>
      </c>
      <c r="F45" s="5" t="n">
        <v>1.29</v>
      </c>
      <c r="G45" s="5" t="n">
        <v>133.48</v>
      </c>
      <c r="H45" s="5" t="n">
        <v>148.7</v>
      </c>
      <c r="I45" s="5" t="n">
        <v>9.58</v>
      </c>
      <c r="J45" s="5" t="n">
        <v>-8.77</v>
      </c>
      <c r="K45" s="5" t="n">
        <v>1.8</v>
      </c>
      <c r="L45" s="5" t="n">
        <v>1.44</v>
      </c>
      <c r="M45" s="5" t="n">
        <v>-0.36</v>
      </c>
      <c r="N45" s="5" t="n">
        <v>1.52</v>
      </c>
      <c r="O45" s="5" t="n">
        <v>-2.6</v>
      </c>
      <c r="P45" s="5" t="n">
        <v>24.91</v>
      </c>
      <c r="Q45" s="5" t="n">
        <v>20.77</v>
      </c>
      <c r="R45" s="5" t="n">
        <v>27.58</v>
      </c>
      <c r="S45" s="5" t="n">
        <v>3938.86</v>
      </c>
      <c r="T45" s="5" t="n">
        <v>-0.79</v>
      </c>
      <c r="U45" s="5" t="n">
        <v>-2</v>
      </c>
      <c r="V45" s="5" t="n">
        <v>8.6</v>
      </c>
      <c r="W45" s="5" t="n">
        <v>9.41</v>
      </c>
      <c r="X45" s="5" t="n">
        <v>63.73</v>
      </c>
      <c r="Y45" s="5" t="n">
        <v>39.92</v>
      </c>
      <c r="Z45" s="5" t="n">
        <v>0.93</v>
      </c>
      <c r="AA45" s="5" t="n">
        <v>71.18000000000001</v>
      </c>
      <c r="AB45" s="5" t="n">
        <v>1.1</v>
      </c>
      <c r="AC45" s="5" t="n">
        <v>-0.88</v>
      </c>
      <c r="AD45" s="5" t="n">
        <v>2.05</v>
      </c>
      <c r="AE45" s="5" t="n">
        <v/>
      </c>
      <c r="AF45" s="5" t="n">
        <v>4.94</v>
      </c>
      <c r="AG45" s="5" t="n">
        <v>66.09</v>
      </c>
    </row>
    <row r="46">
      <c r="A46" s="2" t="inlineStr">
        <is>
          <t>7Iron</t>
        </is>
      </c>
      <c r="B46" s="2" t="inlineStr">
        <is>
          <t>a3460f86-da53-4496-83c5-e8d008e6d822</t>
        </is>
      </c>
      <c r="C46" s="2" t="inlineStr">
        <is>
          <t>2025-08-05 09:51:54</t>
        </is>
      </c>
      <c r="D46" s="3" t="n">
        <v>73.95</v>
      </c>
      <c r="E46" s="3" t="n">
        <v>100.28</v>
      </c>
      <c r="F46" s="3" t="n">
        <v>1.36</v>
      </c>
      <c r="G46" s="3" t="n">
        <v>140.48</v>
      </c>
      <c r="H46" s="3" t="n">
        <v>152.91</v>
      </c>
      <c r="I46" s="3" t="n">
        <v>4.11</v>
      </c>
      <c r="J46" s="3" t="n">
        <v>-10.7</v>
      </c>
      <c r="K46" s="3" t="n">
        <v>2</v>
      </c>
      <c r="L46" s="3" t="n">
        <v>0.62</v>
      </c>
      <c r="M46" s="3" t="n">
        <v>-1.38</v>
      </c>
      <c r="N46" s="3" t="n">
        <v>0.87</v>
      </c>
      <c r="O46" s="3" t="n">
        <v>-2.4</v>
      </c>
      <c r="P46" s="3" t="n">
        <v>25.2</v>
      </c>
      <c r="Q46" s="3" t="n">
        <v>20.6</v>
      </c>
      <c r="R46" s="3" t="n">
        <v>27.64</v>
      </c>
      <c r="S46" s="3" t="n">
        <v>4583.22</v>
      </c>
      <c r="T46" s="3" t="n">
        <v>-2.35</v>
      </c>
      <c r="U46" s="3" t="n">
        <v>-7.02</v>
      </c>
      <c r="V46" s="3" t="n">
        <v>-0.62</v>
      </c>
      <c r="W46" s="3" t="n">
        <v>-1.12</v>
      </c>
      <c r="X46" s="3" t="n">
        <v>72.19</v>
      </c>
      <c r="Y46" s="3" t="n">
        <v>42.72</v>
      </c>
      <c r="Z46" s="3" t="n">
        <v>0.79</v>
      </c>
      <c r="AA46" s="3" t="n">
        <v>65</v>
      </c>
      <c r="AB46" s="3" t="n">
        <v>1.16</v>
      </c>
      <c r="AC46" s="3" t="n">
        <v>-2.62</v>
      </c>
      <c r="AD46" s="3" t="n">
        <v>2.01</v>
      </c>
      <c r="AE46" s="3" t="n">
        <v/>
      </c>
      <c r="AF46" s="3" t="n">
        <v>5.28</v>
      </c>
      <c r="AG46" s="3" t="n">
        <v>65.5</v>
      </c>
    </row>
    <row r="47">
      <c r="A47" s="4" t="inlineStr">
        <is>
          <t>7Iron</t>
        </is>
      </c>
      <c r="B47" s="4" t="inlineStr">
        <is>
          <t>91b3eab7-6ee0-4ea4-a855-976bc5ca1116</t>
        </is>
      </c>
      <c r="C47" s="4" t="inlineStr">
        <is>
          <t>2025-08-05 09:52:13</t>
        </is>
      </c>
      <c r="D47" s="5" t="n">
        <v>74.36</v>
      </c>
      <c r="E47" s="5" t="n">
        <v>98.12</v>
      </c>
      <c r="F47" s="5" t="n">
        <v>1.32</v>
      </c>
      <c r="G47" s="5" t="n">
        <v>135.48</v>
      </c>
      <c r="H47" s="5" t="n">
        <v>146.93</v>
      </c>
      <c r="I47" s="5" t="n">
        <v>4.31</v>
      </c>
      <c r="J47" s="5" t="n">
        <v>-14.8</v>
      </c>
      <c r="K47" s="5" t="n">
        <v>3.8</v>
      </c>
      <c r="L47" s="5" t="n">
        <v>2.56</v>
      </c>
      <c r="M47" s="5" t="n">
        <v>-1.24</v>
      </c>
      <c r="N47" s="5" t="n">
        <v>2.8</v>
      </c>
      <c r="O47" s="5" t="n">
        <v>-1.4</v>
      </c>
      <c r="P47" s="5" t="n">
        <v>26.24</v>
      </c>
      <c r="Q47" s="5" t="n">
        <v>21.28</v>
      </c>
      <c r="R47" s="5" t="n">
        <v>27.71</v>
      </c>
      <c r="S47" s="5" t="n">
        <v>4841</v>
      </c>
      <c r="T47" s="5" t="n">
        <v>-2.05</v>
      </c>
      <c r="U47" s="5" t="n">
        <v>-5.91</v>
      </c>
      <c r="V47" s="5" t="n">
        <v>13.96</v>
      </c>
      <c r="W47" s="5" t="n">
        <v>14.79</v>
      </c>
      <c r="X47" s="5" t="n">
        <v>71.68000000000001</v>
      </c>
      <c r="Y47" s="5" t="n">
        <v>43.36</v>
      </c>
      <c r="Z47" s="5" t="n">
        <v>3.04</v>
      </c>
      <c r="AA47" s="5" t="n">
        <v>64.75</v>
      </c>
      <c r="AB47" s="5" t="n">
        <v>1.13</v>
      </c>
      <c r="AC47" s="5" t="n">
        <v>-2.36</v>
      </c>
      <c r="AD47" s="5" t="n">
        <v>1.14</v>
      </c>
      <c r="AE47" s="5" t="n">
        <v/>
      </c>
      <c r="AF47" s="5" t="n">
        <v>5.23</v>
      </c>
      <c r="AG47" s="5" t="n">
        <v>65.48999999999999</v>
      </c>
    </row>
    <row r="48">
      <c r="A48" s="2" t="inlineStr">
        <is>
          <t>PitchingWedge</t>
        </is>
      </c>
      <c r="B48" s="2" t="inlineStr">
        <is>
          <t>cab08545-e9c8-40b4-926f-e337aa79fa19</t>
        </is>
      </c>
      <c r="C48" s="2" t="inlineStr">
        <is>
          <t>2025-08-05 09:40:54</t>
        </is>
      </c>
      <c r="D48" s="3" t="n">
        <v>63.4</v>
      </c>
      <c r="E48" s="3" t="n">
        <v>76.51000000000001</v>
      </c>
      <c r="F48" s="3" t="n">
        <v>1.21</v>
      </c>
      <c r="G48" s="3" t="n">
        <v>90.34</v>
      </c>
      <c r="H48" s="3" t="n">
        <v>100.05</v>
      </c>
      <c r="I48" s="3" t="n">
        <v>-5.01</v>
      </c>
      <c r="J48" s="3" t="n">
        <v>-1.74</v>
      </c>
      <c r="K48" s="3" t="n">
        <v>1.4</v>
      </c>
      <c r="L48" s="3" t="n">
        <v>-7.28</v>
      </c>
      <c r="M48" s="3" t="n">
        <v>-8.68</v>
      </c>
      <c r="N48" s="3" t="n">
        <v>-4.82</v>
      </c>
      <c r="O48" s="3" t="n">
        <v>-2.2</v>
      </c>
      <c r="P48" s="3" t="n">
        <v>30.87</v>
      </c>
      <c r="Q48" s="3" t="n">
        <v>22.67</v>
      </c>
      <c r="R48" s="3" t="n">
        <v>34.12</v>
      </c>
      <c r="S48" s="3" t="n">
        <v>6423.07</v>
      </c>
      <c r="T48" s="3" t="n">
        <v>-12.29</v>
      </c>
      <c r="U48" s="3" t="n">
        <v>-18.33</v>
      </c>
      <c r="V48" s="3" t="n">
        <v>-41</v>
      </c>
      <c r="W48" s="3" t="n">
        <v>-46.87</v>
      </c>
      <c r="X48" s="3" t="n">
        <v>43.31</v>
      </c>
      <c r="Y48" s="3" t="n">
        <v>38.59</v>
      </c>
      <c r="Z48" s="3" t="n">
        <v>0.23</v>
      </c>
      <c r="AA48" s="3" t="n">
        <v>62.71</v>
      </c>
      <c r="AB48" s="3" t="n">
        <v>1.17</v>
      </c>
      <c r="AC48" s="3" t="n">
        <v>-13.31</v>
      </c>
      <c r="AD48" s="3" t="n">
        <v>2.09</v>
      </c>
      <c r="AE48" s="3" t="n">
        <v/>
      </c>
      <c r="AF48" s="3" t="n">
        <v>3.97</v>
      </c>
      <c r="AG48" s="3" t="n">
        <v>68.02</v>
      </c>
    </row>
    <row r="49">
      <c r="A49" s="4" t="inlineStr">
        <is>
          <t>PitchingWedge</t>
        </is>
      </c>
      <c r="B49" s="4" t="inlineStr">
        <is>
          <t>1acafc97-6d3f-4fe8-b79a-01087e938686</t>
        </is>
      </c>
      <c r="C49" s="4" t="inlineStr">
        <is>
          <t>2025-08-05 09:41:19</t>
        </is>
      </c>
      <c r="D49" s="5" t="n">
        <v>65.73999999999999</v>
      </c>
      <c r="E49" s="5" t="n">
        <v>78.5</v>
      </c>
      <c r="F49" s="5" t="n">
        <v>1.19</v>
      </c>
      <c r="G49" s="5" t="n">
        <v>95.76000000000001</v>
      </c>
      <c r="H49" s="5" t="n">
        <v>103.21</v>
      </c>
      <c r="I49" s="5" t="n">
        <v>8.460000000000001</v>
      </c>
      <c r="J49" s="5" t="n">
        <v>8.23</v>
      </c>
      <c r="K49" s="5" t="n">
        <v>4</v>
      </c>
      <c r="L49" s="5" t="n">
        <v>-0.61</v>
      </c>
      <c r="M49" s="5" t="n">
        <v>-4.61</v>
      </c>
      <c r="N49" s="5" t="n">
        <v>0.61</v>
      </c>
      <c r="O49" s="5" t="n">
        <v>-1.4</v>
      </c>
      <c r="P49" s="5" t="n">
        <v>34.37</v>
      </c>
      <c r="Q49" s="5" t="n">
        <v>26.43</v>
      </c>
      <c r="R49" s="5" t="n">
        <v>36.19</v>
      </c>
      <c r="S49" s="5" t="n">
        <v>6219</v>
      </c>
      <c r="T49" s="5" t="n">
        <v>-6.16</v>
      </c>
      <c r="U49" s="5" t="n">
        <v>-10.6</v>
      </c>
      <c r="V49" s="5" t="n">
        <v>-7.53</v>
      </c>
      <c r="W49" s="5" t="n">
        <v>-8.640000000000001</v>
      </c>
      <c r="X49" s="5" t="n">
        <v>56.74</v>
      </c>
      <c r="Y49" s="5" t="n">
        <v>44.42</v>
      </c>
      <c r="Z49" s="5" t="n">
        <v>3.59</v>
      </c>
      <c r="AA49" s="5" t="n">
        <v>74.09999999999999</v>
      </c>
      <c r="AB49" s="5" t="n">
        <v>1.09</v>
      </c>
      <c r="AC49" s="5" t="n">
        <v>-6.48</v>
      </c>
      <c r="AD49" s="5" t="n">
        <v>1.26</v>
      </c>
      <c r="AE49" s="5" t="n">
        <v/>
      </c>
      <c r="AF49" s="5" t="n">
        <v>4.44</v>
      </c>
      <c r="AG49" s="5" t="n">
        <v>67.45999999999999</v>
      </c>
    </row>
    <row r="50">
      <c r="A50" s="2" t="inlineStr">
        <is>
          <t>PitchingWedge</t>
        </is>
      </c>
      <c r="B50" s="2" t="inlineStr">
        <is>
          <t>40ee078b-cb37-49d2-933d-dad4b6e941a5</t>
        </is>
      </c>
      <c r="C50" s="2" t="inlineStr">
        <is>
          <t>2025-08-05 09:41:30</t>
        </is>
      </c>
      <c r="D50" s="3" t="n">
        <v>67.06999999999999</v>
      </c>
      <c r="E50" s="3" t="n">
        <v>82.45</v>
      </c>
      <c r="F50" s="3" t="n">
        <v>1.23</v>
      </c>
      <c r="G50" s="3" t="n">
        <v>103.12</v>
      </c>
      <c r="H50" s="3" t="n">
        <v>109.92</v>
      </c>
      <c r="I50" s="3" t="n">
        <v>5.13</v>
      </c>
      <c r="J50" s="3" t="n">
        <v>-3.03</v>
      </c>
      <c r="K50" s="3" t="n">
        <v>2.8</v>
      </c>
      <c r="L50" s="3" t="n">
        <v>-1.96</v>
      </c>
      <c r="M50" s="3" t="n">
        <v>-4.75</v>
      </c>
      <c r="N50" s="3" t="n">
        <v>-0.8</v>
      </c>
      <c r="O50" s="3" t="n">
        <v>-1.2</v>
      </c>
      <c r="P50" s="3" t="n">
        <v>34.93</v>
      </c>
      <c r="Q50" s="3" t="n">
        <v>27.66</v>
      </c>
      <c r="R50" s="3" t="n">
        <v>36.44</v>
      </c>
      <c r="S50" s="3" t="n">
        <v>5991</v>
      </c>
      <c r="T50" s="3" t="n">
        <v>-6.33</v>
      </c>
      <c r="U50" s="3" t="n">
        <v>-12.6</v>
      </c>
      <c r="V50" s="3" t="n">
        <v>-16.9</v>
      </c>
      <c r="W50" s="3" t="n">
        <v>-18.49</v>
      </c>
      <c r="X50" s="3" t="n">
        <v>66.89</v>
      </c>
      <c r="Y50" s="3" t="n">
        <v>47.14</v>
      </c>
      <c r="Z50" s="3" t="n">
        <v>2.47</v>
      </c>
      <c r="AA50" s="3" t="n">
        <v>74.23999999999999</v>
      </c>
      <c r="AB50" s="3" t="n">
        <v>1.11</v>
      </c>
      <c r="AC50" s="3" t="n">
        <v>-6.59</v>
      </c>
      <c r="AD50" s="3" t="n">
        <v>1.02</v>
      </c>
      <c r="AE50" s="3" t="n">
        <v/>
      </c>
      <c r="AF50" s="3" t="n">
        <v>4.79</v>
      </c>
      <c r="AG50" s="3" t="n">
        <v>68.51000000000001</v>
      </c>
    </row>
    <row r="51">
      <c r="A51" s="4" t="inlineStr">
        <is>
          <t>PitchingWedge</t>
        </is>
      </c>
      <c r="B51" s="4" t="inlineStr">
        <is>
          <t>0bf685cf-e0d5-40f7-8c60-cf5f0b4ee7b1</t>
        </is>
      </c>
      <c r="C51" s="4" t="inlineStr">
        <is>
          <t>2025-08-05 09:41:44</t>
        </is>
      </c>
      <c r="D51" s="5" t="n">
        <v>68.43000000000001</v>
      </c>
      <c r="E51" s="5" t="n">
        <v>85.38</v>
      </c>
      <c r="F51" s="5" t="n">
        <v>1.25</v>
      </c>
      <c r="G51" s="5" t="n">
        <v>107.74</v>
      </c>
      <c r="H51" s="5" t="n">
        <v>114.34</v>
      </c>
      <c r="I51" s="5" t="n">
        <v>3.29</v>
      </c>
      <c r="J51" s="5" t="n">
        <v>-7.67</v>
      </c>
      <c r="K51" s="5" t="n">
        <v>2.8</v>
      </c>
      <c r="L51" s="5" t="n">
        <v>-3.78</v>
      </c>
      <c r="M51" s="5" t="n">
        <v>-6.58</v>
      </c>
      <c r="N51" s="5" t="n">
        <v>-2.18</v>
      </c>
      <c r="O51" s="5" t="n">
        <v>-1.6</v>
      </c>
      <c r="P51" s="5" t="n">
        <v>33.65</v>
      </c>
      <c r="Q51" s="5" t="n">
        <v>26.34</v>
      </c>
      <c r="R51" s="5" t="n">
        <v>35.87</v>
      </c>
      <c r="S51" s="5" t="n">
        <v>6293.27</v>
      </c>
      <c r="T51" s="5" t="n">
        <v>-8.779999999999999</v>
      </c>
      <c r="U51" s="5" t="n">
        <v>-19.12</v>
      </c>
      <c r="V51" s="5" t="n">
        <v>-31.39</v>
      </c>
      <c r="W51" s="5" t="n">
        <v>-34</v>
      </c>
      <c r="X51" s="5" t="n">
        <v>68.09999999999999</v>
      </c>
      <c r="Y51" s="5" t="n">
        <v>46.82</v>
      </c>
      <c r="Z51" s="5" t="n">
        <v>2.1</v>
      </c>
      <c r="AA51" s="5" t="n">
        <v>69.87</v>
      </c>
      <c r="AB51" s="5" t="n">
        <v>1.17</v>
      </c>
      <c r="AC51" s="5" t="n">
        <v>-9.25</v>
      </c>
      <c r="AD51" s="5" t="n">
        <v>1.5</v>
      </c>
      <c r="AE51" s="5" t="n">
        <v/>
      </c>
      <c r="AF51" s="5" t="n">
        <v>4.88</v>
      </c>
      <c r="AG51" s="5" t="n">
        <v>67.16</v>
      </c>
    </row>
    <row r="52">
      <c r="A52" s="2" t="inlineStr">
        <is>
          <t>PitchingWedge</t>
        </is>
      </c>
      <c r="B52" s="2" t="inlineStr">
        <is>
          <t>6eeead1f-b54a-4e3b-90ac-17bf7cf1d760</t>
        </is>
      </c>
      <c r="C52" s="2" t="inlineStr">
        <is>
          <t>2025-08-05 09:42:00</t>
        </is>
      </c>
      <c r="D52" s="3" t="n">
        <v>69.69</v>
      </c>
      <c r="E52" s="3" t="n">
        <v>84.87</v>
      </c>
      <c r="F52" s="3" t="n">
        <v>1.22</v>
      </c>
      <c r="G52" s="3" t="n">
        <v>108.11</v>
      </c>
      <c r="H52" s="3" t="n">
        <v>115.96</v>
      </c>
      <c r="I52" s="3" t="n">
        <v>9.51</v>
      </c>
      <c r="J52" s="3" t="n">
        <v>-3.44</v>
      </c>
      <c r="K52" s="3" t="n">
        <v>3.6</v>
      </c>
      <c r="L52" s="3" t="n">
        <v>-3.21</v>
      </c>
      <c r="M52" s="3" t="n">
        <v>-6.81</v>
      </c>
      <c r="N52" s="3" t="n">
        <v>-1.61</v>
      </c>
      <c r="O52" s="3" t="n">
        <v>-0.6</v>
      </c>
      <c r="P52" s="3" t="n">
        <v>33.05</v>
      </c>
      <c r="Q52" s="3" t="n">
        <v>26.4</v>
      </c>
      <c r="R52" s="3" t="n">
        <v>34.35</v>
      </c>
      <c r="S52" s="3" t="n">
        <v>5711.8</v>
      </c>
      <c r="T52" s="3" t="n">
        <v>-9.67</v>
      </c>
      <c r="U52" s="3" t="n">
        <v>-20.36</v>
      </c>
      <c r="V52" s="3" t="n">
        <v>-29.48</v>
      </c>
      <c r="W52" s="3" t="n">
        <v>-32.51</v>
      </c>
      <c r="X52" s="3" t="n">
        <v>66.86</v>
      </c>
      <c r="Y52" s="3" t="n">
        <v>46.06</v>
      </c>
      <c r="Z52" s="3" t="n">
        <v>3.41</v>
      </c>
      <c r="AA52" s="3" t="n">
        <v>73.23999999999999</v>
      </c>
      <c r="AB52" s="3" t="n">
        <v>1.11</v>
      </c>
      <c r="AC52" s="3" t="n">
        <v>-10.17</v>
      </c>
      <c r="AD52" s="3" t="n">
        <v>0.59</v>
      </c>
      <c r="AE52" s="3" t="n">
        <v/>
      </c>
      <c r="AF52" s="3" t="n">
        <v>4.83</v>
      </c>
      <c r="AG52" s="3" t="n">
        <v>68.42</v>
      </c>
    </row>
    <row r="53">
      <c r="A53" s="4" t="inlineStr">
        <is>
          <t>PitchingWedge</t>
        </is>
      </c>
      <c r="B53" s="4" t="inlineStr">
        <is>
          <t>ad95098c-bd44-4734-b169-10bf4de1390a</t>
        </is>
      </c>
      <c r="C53" s="4" t="inlineStr">
        <is>
          <t>2025-08-05 09:42:18</t>
        </is>
      </c>
      <c r="D53" s="5" t="n">
        <v>68.27</v>
      </c>
      <c r="E53" s="5" t="n">
        <v>85.47</v>
      </c>
      <c r="F53" s="5" t="n">
        <v>1.25</v>
      </c>
      <c r="G53" s="5" t="n">
        <v>107.1</v>
      </c>
      <c r="H53" s="5" t="n">
        <v>113.08</v>
      </c>
      <c r="I53" s="5" t="n">
        <v>2.36</v>
      </c>
      <c r="J53" s="5" t="n">
        <v>-2.66</v>
      </c>
      <c r="K53" s="5" t="n">
        <v>2.6</v>
      </c>
      <c r="L53" s="5" t="n">
        <v>-4.02</v>
      </c>
      <c r="M53" s="5" t="n">
        <v>-6.62</v>
      </c>
      <c r="N53" s="5" t="n">
        <v>-2.32</v>
      </c>
      <c r="O53" s="5" t="n">
        <v>-1.8</v>
      </c>
      <c r="P53" s="5" t="n">
        <v>33.7</v>
      </c>
      <c r="Q53" s="5" t="n">
        <v>25.89</v>
      </c>
      <c r="R53" s="5" t="n">
        <v>36.14</v>
      </c>
      <c r="S53" s="5" t="n">
        <v>6728.29</v>
      </c>
      <c r="T53" s="5" t="n">
        <v>-8.74</v>
      </c>
      <c r="U53" s="5" t="n">
        <v>-19.21</v>
      </c>
      <c r="V53" s="5" t="n">
        <v>-32.17</v>
      </c>
      <c r="W53" s="5" t="n">
        <v>-34.6</v>
      </c>
      <c r="X53" s="5" t="n">
        <v>67.15000000000001</v>
      </c>
      <c r="Y53" s="5" t="n">
        <v>46.71</v>
      </c>
      <c r="Z53" s="5" t="n">
        <v>1.79</v>
      </c>
      <c r="AA53" s="5" t="n">
        <v>68.88</v>
      </c>
      <c r="AB53" s="5" t="n">
        <v>1.2</v>
      </c>
      <c r="AC53" s="5" t="n">
        <v>-9.24</v>
      </c>
      <c r="AD53" s="5" t="n">
        <v>1.73</v>
      </c>
      <c r="AE53" s="5" t="n">
        <v/>
      </c>
      <c r="AF53" s="5" t="n">
        <v>4.85</v>
      </c>
      <c r="AG53" s="5" t="n">
        <v>67.05</v>
      </c>
    </row>
    <row r="54">
      <c r="A54" s="2" t="inlineStr">
        <is>
          <t>PitchingWedge</t>
        </is>
      </c>
      <c r="B54" s="2" t="inlineStr">
        <is>
          <t>fcc2712e-21ea-4c80-97da-2ac3621ba7b0</t>
        </is>
      </c>
      <c r="C54" s="2" t="inlineStr">
        <is>
          <t>2025-08-05 09:42:54</t>
        </is>
      </c>
      <c r="D54" s="3" t="n">
        <v>68.19</v>
      </c>
      <c r="E54" s="3" t="n">
        <v>82.36</v>
      </c>
      <c r="F54" s="3" t="n">
        <v>1.21</v>
      </c>
      <c r="G54" s="3" t="n">
        <v>100.79</v>
      </c>
      <c r="H54" s="3" t="n">
        <v>105.83</v>
      </c>
      <c r="I54" s="3" t="n">
        <v>0.1</v>
      </c>
      <c r="J54" s="3" t="n">
        <v>4.67</v>
      </c>
      <c r="K54" s="3" t="n">
        <v>2.2</v>
      </c>
      <c r="L54" s="3" t="n">
        <v>-0.93</v>
      </c>
      <c r="M54" s="3" t="n">
        <v>-3.13</v>
      </c>
      <c r="N54" s="3" t="n">
        <v>-0.03</v>
      </c>
      <c r="O54" s="3" t="n">
        <v>-2.8</v>
      </c>
      <c r="P54" s="3" t="n">
        <v>35.01</v>
      </c>
      <c r="Q54" s="3" t="n">
        <v>25.94</v>
      </c>
      <c r="R54" s="3" t="n">
        <v>37.94</v>
      </c>
      <c r="S54" s="3" t="n">
        <v>7411</v>
      </c>
      <c r="T54" s="3" t="n">
        <v>-3.98</v>
      </c>
      <c r="U54" s="3" t="n">
        <v>-8.039999999999999</v>
      </c>
      <c r="V54" s="3" t="n">
        <v>-8.199999999999999</v>
      </c>
      <c r="W54" s="3" t="n">
        <v>-8.85</v>
      </c>
      <c r="X54" s="3" t="n">
        <v>62.61</v>
      </c>
      <c r="Y54" s="3" t="n">
        <v>46.31</v>
      </c>
      <c r="Z54" s="3" t="n">
        <v>0.86</v>
      </c>
      <c r="AA54" s="3" t="n">
        <v>64.09</v>
      </c>
      <c r="AB54" s="3" t="n">
        <v>1.08</v>
      </c>
      <c r="AC54" s="3" t="n">
        <v>-4.21</v>
      </c>
      <c r="AD54" s="3" t="n">
        <v>2.4</v>
      </c>
      <c r="AE54" s="3" t="n">
        <v/>
      </c>
      <c r="AF54" s="3" t="n">
        <v>4.68</v>
      </c>
      <c r="AG54" s="3" t="n">
        <v>66.98</v>
      </c>
    </row>
    <row r="55">
      <c r="A55" s="4" t="inlineStr">
        <is>
          <t>PitchingWedge</t>
        </is>
      </c>
      <c r="B55" s="4" t="inlineStr">
        <is>
          <t>2763696f-d013-48fd-a9f4-33aeeb956363</t>
        </is>
      </c>
      <c r="C55" s="4" t="inlineStr">
        <is>
          <t>2025-08-05 09:43:08</t>
        </is>
      </c>
      <c r="D55" s="5" t="n">
        <v>68.48999999999999</v>
      </c>
      <c r="E55" s="5" t="n">
        <v>84.3</v>
      </c>
      <c r="F55" s="5" t="n">
        <v>1.23</v>
      </c>
      <c r="G55" s="5" t="n">
        <v>105.19</v>
      </c>
      <c r="H55" s="5" t="n">
        <v>110.64</v>
      </c>
      <c r="I55" s="5" t="n">
        <v>6.29</v>
      </c>
      <c r="J55" s="5" t="n">
        <v>-4.07</v>
      </c>
      <c r="K55" s="5" t="n">
        <v>3</v>
      </c>
      <c r="L55" s="5" t="n">
        <v>0.17</v>
      </c>
      <c r="M55" s="5" t="n">
        <v>-2.83</v>
      </c>
      <c r="N55" s="5" t="n">
        <v>0.88</v>
      </c>
      <c r="O55" s="5" t="n">
        <v>-2</v>
      </c>
      <c r="P55" s="5" t="n">
        <v>35.67</v>
      </c>
      <c r="Q55" s="5" t="n">
        <v>27.89</v>
      </c>
      <c r="R55" s="5" t="n">
        <v>37.8</v>
      </c>
      <c r="S55" s="5" t="n">
        <v>6512.12</v>
      </c>
      <c r="T55" s="5" t="n">
        <v>-3.59</v>
      </c>
      <c r="U55" s="5" t="n">
        <v>-7.72</v>
      </c>
      <c r="V55" s="5" t="n">
        <v>-2.88</v>
      </c>
      <c r="W55" s="5" t="n">
        <v>-3.25</v>
      </c>
      <c r="X55" s="5" t="n">
        <v>71.45</v>
      </c>
      <c r="Y55" s="5" t="n">
        <v>48.63</v>
      </c>
      <c r="Z55" s="5" t="n">
        <v>2.22</v>
      </c>
      <c r="AA55" s="5" t="n">
        <v>69.09</v>
      </c>
      <c r="AB55" s="5" t="n">
        <v>1.14</v>
      </c>
      <c r="AC55" s="5" t="n">
        <v>-3.73</v>
      </c>
      <c r="AD55" s="5" t="n">
        <v>1.77</v>
      </c>
      <c r="AE55" s="5" t="n">
        <v/>
      </c>
      <c r="AF55" s="5" t="n">
        <v>4.94</v>
      </c>
      <c r="AG55" s="5" t="n">
        <v>66.15000000000001</v>
      </c>
    </row>
    <row r="56">
      <c r="A56" s="2" t="inlineStr">
        <is>
          <t>PitchingWedge</t>
        </is>
      </c>
      <c r="B56" s="2" t="inlineStr">
        <is>
          <t>52f8474a-4c94-40e6-b009-8877cb3db6f3</t>
        </is>
      </c>
      <c r="C56" s="2" t="inlineStr">
        <is>
          <t>2025-08-05 09:43:21</t>
        </is>
      </c>
      <c r="D56" s="3" t="n">
        <v>68.75</v>
      </c>
      <c r="E56" s="3" t="n">
        <v>82.45</v>
      </c>
      <c r="F56" s="3" t="n">
        <v>1.2</v>
      </c>
      <c r="G56" s="3" t="n">
        <v>102.26</v>
      </c>
      <c r="H56" s="3" t="n">
        <v>107.93</v>
      </c>
      <c r="I56" s="3" t="n">
        <v>8.98</v>
      </c>
      <c r="J56" s="3" t="n">
        <v>-11.16</v>
      </c>
      <c r="K56" s="3" t="n">
        <v>5.4</v>
      </c>
      <c r="L56" s="3" t="n">
        <v>2.07</v>
      </c>
      <c r="M56" s="3" t="n">
        <v>-3.33</v>
      </c>
      <c r="N56" s="3" t="n">
        <v>2.86</v>
      </c>
      <c r="O56" s="3" t="n">
        <v>-1.8</v>
      </c>
      <c r="P56" s="3" t="n">
        <v>36.38</v>
      </c>
      <c r="Q56" s="3" t="n">
        <v>28.7</v>
      </c>
      <c r="R56" s="3" t="n">
        <v>38.48</v>
      </c>
      <c r="S56" s="3" t="n">
        <v>6301</v>
      </c>
      <c r="T56" s="3" t="n">
        <v>-4.05</v>
      </c>
      <c r="U56" s="3" t="n">
        <v>-8.220000000000001</v>
      </c>
      <c r="V56" s="3" t="n">
        <v>7.12</v>
      </c>
      <c r="W56" s="3" t="n">
        <v>7.27</v>
      </c>
      <c r="X56" s="3" t="n">
        <v>70.26000000000001</v>
      </c>
      <c r="Y56" s="3" t="n">
        <v>48.68</v>
      </c>
      <c r="Z56" s="3" t="n">
        <v>4.58</v>
      </c>
      <c r="AA56" s="3" t="n">
        <v>69.81</v>
      </c>
      <c r="AB56" s="3" t="n">
        <v>1.05</v>
      </c>
      <c r="AC56" s="3" t="n">
        <v>-4.18</v>
      </c>
      <c r="AD56" s="3" t="n">
        <v>1.57</v>
      </c>
      <c r="AE56" s="3" t="n">
        <v/>
      </c>
      <c r="AF56" s="3" t="n">
        <v>4.87</v>
      </c>
      <c r="AG56" s="3" t="n">
        <v>66.15000000000001</v>
      </c>
    </row>
    <row r="57">
      <c r="A57" s="4" t="inlineStr">
        <is>
          <t>PitchingWedge</t>
        </is>
      </c>
      <c r="B57" s="4" t="inlineStr">
        <is>
          <t>12d65a42-1120-4cdb-a988-897f8972dd66</t>
        </is>
      </c>
      <c r="C57" s="4" t="inlineStr">
        <is>
          <t>2025-08-05 09:43:36</t>
        </is>
      </c>
      <c r="D57" s="5" t="n">
        <v>69.26000000000001</v>
      </c>
      <c r="E57" s="5" t="n">
        <v>83.09999999999999</v>
      </c>
      <c r="F57" s="5" t="n">
        <v>1.2</v>
      </c>
      <c r="G57" s="5" t="n">
        <v>103.56</v>
      </c>
      <c r="H57" s="5" t="n">
        <v>109.36</v>
      </c>
      <c r="I57" s="5" t="n">
        <v>7.35</v>
      </c>
      <c r="J57" s="5" t="n">
        <v>-7.37</v>
      </c>
      <c r="K57" s="5" t="n">
        <v>2.8</v>
      </c>
      <c r="L57" s="5" t="n">
        <v>0.86</v>
      </c>
      <c r="M57" s="5" t="n">
        <v>-1.94</v>
      </c>
      <c r="N57" s="5" t="n">
        <v>1.33</v>
      </c>
      <c r="O57" s="5" t="n">
        <v>-1.4</v>
      </c>
      <c r="P57" s="5" t="n">
        <v>36.04</v>
      </c>
      <c r="Q57" s="5" t="n">
        <v>28.47</v>
      </c>
      <c r="R57" s="5" t="n">
        <v>37.55</v>
      </c>
      <c r="S57" s="5" t="n">
        <v>6239</v>
      </c>
      <c r="T57" s="5" t="n">
        <v>-2.42</v>
      </c>
      <c r="U57" s="5" t="n">
        <v>-5</v>
      </c>
      <c r="V57" s="5" t="n">
        <v>2.21</v>
      </c>
      <c r="W57" s="5" t="n">
        <v>2.19</v>
      </c>
      <c r="X57" s="5" t="n">
        <v>70.81999999999999</v>
      </c>
      <c r="Y57" s="5" t="n">
        <v>48.63</v>
      </c>
      <c r="Z57" s="5" t="n">
        <v>2.17</v>
      </c>
      <c r="AA57" s="5" t="n">
        <v>68.19</v>
      </c>
      <c r="AB57" s="5" t="n">
        <v>1.11</v>
      </c>
      <c r="AC57" s="5" t="n">
        <v>-2.5</v>
      </c>
      <c r="AD57" s="5" t="n">
        <v>1.26</v>
      </c>
      <c r="AE57" s="5" t="n">
        <v/>
      </c>
      <c r="AF57" s="5" t="n">
        <v>4.9</v>
      </c>
      <c r="AG57" s="5" t="n">
        <v>66.34999999999999</v>
      </c>
    </row>
    <row r="58">
      <c r="A58" s="2" t="inlineStr">
        <is>
          <t>PitchingWedge</t>
        </is>
      </c>
      <c r="B58" s="2" t="inlineStr">
        <is>
          <t>81c4f711-73a7-4637-976c-3d43cca025b7</t>
        </is>
      </c>
      <c r="C58" s="2" t="inlineStr">
        <is>
          <t>2025-08-05 09:43:51</t>
        </is>
      </c>
      <c r="D58" s="3" t="n">
        <v>69.92</v>
      </c>
      <c r="E58" s="3" t="n">
        <v>84.03</v>
      </c>
      <c r="F58" s="3" t="n">
        <v>1.2</v>
      </c>
      <c r="G58" s="3" t="n">
        <v>103.77</v>
      </c>
      <c r="H58" s="3" t="n">
        <v>108.21</v>
      </c>
      <c r="I58" s="3" t="n">
        <v>5.43</v>
      </c>
      <c r="J58" s="3" t="n">
        <v>-6.7</v>
      </c>
      <c r="K58" s="3" t="n">
        <v>2.4</v>
      </c>
      <c r="L58" s="3" t="n">
        <v>1.91</v>
      </c>
      <c r="M58" s="3" t="n">
        <v>-0.49</v>
      </c>
      <c r="N58" s="3" t="n">
        <v>2.06</v>
      </c>
      <c r="O58" s="3" t="n">
        <v>-1</v>
      </c>
      <c r="P58" s="3" t="n">
        <v>37.29</v>
      </c>
      <c r="Q58" s="3" t="n">
        <v>29.16</v>
      </c>
      <c r="R58" s="3" t="n">
        <v>38.48</v>
      </c>
      <c r="S58" s="3" t="n">
        <v>6761.54</v>
      </c>
      <c r="T58" s="3" t="n">
        <v>-0.7</v>
      </c>
      <c r="U58" s="3" t="n">
        <v>-1.52</v>
      </c>
      <c r="V58" s="3" t="n">
        <v>9.66</v>
      </c>
      <c r="W58" s="3" t="n">
        <v>10.04</v>
      </c>
      <c r="X58" s="3" t="n">
        <v>74.92</v>
      </c>
      <c r="Y58" s="3" t="n">
        <v>50.18</v>
      </c>
      <c r="Z58" s="3" t="n">
        <v>2</v>
      </c>
      <c r="AA58" s="3" t="n">
        <v>68.03</v>
      </c>
      <c r="AB58" s="3" t="n">
        <v>1.08</v>
      </c>
      <c r="AC58" s="3" t="n">
        <v>-0.72</v>
      </c>
      <c r="AD58" s="3" t="n">
        <v>0.98</v>
      </c>
      <c r="AE58" s="3" t="n">
        <v/>
      </c>
      <c r="AF58" s="3" t="n">
        <v>5.01</v>
      </c>
      <c r="AG58" s="3" t="n">
        <v>66.17</v>
      </c>
    </row>
    <row r="59">
      <c r="A59" s="4" t="inlineStr">
        <is>
          <t>PitchingWedge</t>
        </is>
      </c>
      <c r="B59" s="4" t="inlineStr">
        <is>
          <t>03e8f223-3b08-4e25-bc9d-cccc37b5bee1</t>
        </is>
      </c>
      <c r="C59" s="4" t="inlineStr">
        <is>
          <t>2025-08-05 09:45:01</t>
        </is>
      </c>
      <c r="D59" s="5" t="n">
        <v>67.92</v>
      </c>
      <c r="E59" s="5" t="n">
        <v>84.67</v>
      </c>
      <c r="F59" s="5" t="n">
        <v>1.25</v>
      </c>
      <c r="G59" s="5" t="n">
        <v>105.74</v>
      </c>
      <c r="H59" s="5" t="n">
        <v>112.5</v>
      </c>
      <c r="I59" s="5" t="n">
        <v>0.13</v>
      </c>
      <c r="J59" s="5" t="n">
        <v>-7.19</v>
      </c>
      <c r="K59" s="5" t="n">
        <v>2</v>
      </c>
      <c r="L59" s="5" t="n">
        <v>-4.54</v>
      </c>
      <c r="M59" s="5" t="n">
        <v>-6.54</v>
      </c>
      <c r="N59" s="5" t="n">
        <v>-2.85</v>
      </c>
      <c r="O59" s="5" t="n">
        <v>-3.6</v>
      </c>
      <c r="P59" s="5" t="n">
        <v>32.5</v>
      </c>
      <c r="Q59" s="5" t="n">
        <v>24.6</v>
      </c>
      <c r="R59" s="5" t="n">
        <v>36.65</v>
      </c>
      <c r="S59" s="5" t="n">
        <v>6736.39</v>
      </c>
      <c r="T59" s="5" t="n">
        <v>-8.74</v>
      </c>
      <c r="U59" s="5" t="n">
        <v>-18.47</v>
      </c>
      <c r="V59" s="5" t="n">
        <v>-34.19</v>
      </c>
      <c r="W59" s="5" t="n">
        <v>-37.13</v>
      </c>
      <c r="X59" s="5" t="n">
        <v>61.81</v>
      </c>
      <c r="Y59" s="5" t="n">
        <v>44.85</v>
      </c>
      <c r="Z59" s="5" t="n">
        <v>0.52</v>
      </c>
      <c r="AA59" s="5" t="n">
        <v>66.92</v>
      </c>
      <c r="AB59" s="5" t="n">
        <v>1.17</v>
      </c>
      <c r="AC59" s="5" t="n">
        <v>-9.34</v>
      </c>
      <c r="AD59" s="5" t="n">
        <v>3.27</v>
      </c>
      <c r="AE59" s="5" t="n">
        <v/>
      </c>
      <c r="AF59" s="5" t="n">
        <v>4.7</v>
      </c>
      <c r="AG59" s="5" t="n">
        <v>67.48999999999999</v>
      </c>
    </row>
    <row r="60">
      <c r="A60" s="2" t="inlineStr">
        <is>
          <t>PitchingWedge</t>
        </is>
      </c>
      <c r="B60" s="2" t="inlineStr">
        <is>
          <t>8baddeac-d1be-4667-b97b-ceeb54f62ffe</t>
        </is>
      </c>
      <c r="C60" s="2" t="inlineStr">
        <is>
          <t>2025-08-05 09:45:34</t>
        </is>
      </c>
      <c r="D60" s="3" t="n">
        <v>69.37</v>
      </c>
      <c r="E60" s="3" t="n">
        <v>87.43000000000001</v>
      </c>
      <c r="F60" s="3" t="n">
        <v>1.26</v>
      </c>
      <c r="G60" s="3" t="n">
        <v>110.34</v>
      </c>
      <c r="H60" s="3" t="n">
        <v>115.87</v>
      </c>
      <c r="I60" s="3" t="n">
        <v>3.95</v>
      </c>
      <c r="J60" s="3" t="n">
        <v>-5.56</v>
      </c>
      <c r="K60" s="3" t="n">
        <v>3.2</v>
      </c>
      <c r="L60" s="3" t="n">
        <v>-0.68</v>
      </c>
      <c r="M60" s="3" t="n">
        <v>-3.88</v>
      </c>
      <c r="N60" s="3" t="n">
        <v>0.31</v>
      </c>
      <c r="O60" s="3" t="n">
        <v>-2.8</v>
      </c>
      <c r="P60" s="3" t="n">
        <v>33.77</v>
      </c>
      <c r="Q60" s="3" t="n">
        <v>25.96</v>
      </c>
      <c r="R60" s="3" t="n">
        <v>36.95</v>
      </c>
      <c r="S60" s="3" t="n">
        <v>6802.91</v>
      </c>
      <c r="T60" s="3" t="n">
        <v>-5.14</v>
      </c>
      <c r="U60" s="3" t="n">
        <v>-12.09</v>
      </c>
      <c r="V60" s="3" t="n">
        <v>-10.31</v>
      </c>
      <c r="W60" s="3" t="n">
        <v>-11.17</v>
      </c>
      <c r="X60" s="3" t="n">
        <v>71.28</v>
      </c>
      <c r="Y60" s="3" t="n">
        <v>47.75</v>
      </c>
      <c r="Z60" s="3" t="n">
        <v>2.06</v>
      </c>
      <c r="AA60" s="3" t="n">
        <v>68.31</v>
      </c>
      <c r="AB60" s="3" t="n">
        <v>1.1</v>
      </c>
      <c r="AC60" s="3" t="n">
        <v>-5.44</v>
      </c>
      <c r="AD60" s="3" t="n">
        <v>2.52</v>
      </c>
      <c r="AE60" s="3" t="n">
        <v/>
      </c>
      <c r="AF60" s="3" t="n">
        <v>5</v>
      </c>
      <c r="AG60" s="3" t="n">
        <v>68.19</v>
      </c>
    </row>
    <row r="61">
      <c r="A61" s="4" t="inlineStr">
        <is>
          <t>PitchingWedge</t>
        </is>
      </c>
      <c r="B61" s="4" t="inlineStr">
        <is>
          <t>f6818137-ddcc-4676-b9ff-55913783c1d0</t>
        </is>
      </c>
      <c r="C61" s="4" t="inlineStr">
        <is>
          <t>2025-08-05 09:45:56</t>
        </is>
      </c>
      <c r="D61" s="5" t="n">
        <v>70.13</v>
      </c>
      <c r="E61" s="5" t="n">
        <v>80.52</v>
      </c>
      <c r="F61" s="5" t="n">
        <v>1.15</v>
      </c>
      <c r="G61" s="5" t="n">
        <v>93.79000000000001</v>
      </c>
      <c r="H61" s="5" t="n">
        <v>107.6</v>
      </c>
      <c r="I61" s="5" t="n">
        <v>2.32</v>
      </c>
      <c r="J61" s="5" t="n">
        <v>-30.52</v>
      </c>
      <c r="K61" s="5" t="n">
        <v>0.2</v>
      </c>
      <c r="L61" s="5" t="n">
        <v>14.12</v>
      </c>
      <c r="M61" s="5" t="n">
        <v>13.92</v>
      </c>
      <c r="N61" s="5" t="n">
        <v>10.52</v>
      </c>
      <c r="O61" s="5" t="n">
        <v>-3.2</v>
      </c>
      <c r="P61" s="5" t="n">
        <v>25.44</v>
      </c>
      <c r="Q61" s="5" t="n">
        <v>18.71</v>
      </c>
      <c r="R61" s="5" t="n">
        <v>31.82</v>
      </c>
      <c r="S61" s="5" t="n">
        <v>5987.04</v>
      </c>
      <c r="T61" s="5" t="n">
        <v>21.89</v>
      </c>
      <c r="U61" s="5" t="n">
        <v>32.6</v>
      </c>
      <c r="V61" s="5" t="n">
        <v>83.08</v>
      </c>
      <c r="W61" s="5" t="n">
        <v>99.34</v>
      </c>
      <c r="X61" s="5" t="n">
        <v>36.01</v>
      </c>
      <c r="Y61" s="5" t="n">
        <v>33</v>
      </c>
      <c r="Z61" s="5" t="n">
        <v>-1.31</v>
      </c>
      <c r="AA61" s="5" t="n">
        <v>65.84</v>
      </c>
      <c r="AB61" s="5" t="n">
        <v>1.09</v>
      </c>
      <c r="AC61" s="5" t="n">
        <v>24.3</v>
      </c>
      <c r="AD61" s="5" t="n">
        <v>2.87</v>
      </c>
      <c r="AE61" s="5" t="n">
        <v/>
      </c>
      <c r="AF61" s="5" t="n">
        <v>3.73</v>
      </c>
      <c r="AG61" s="5" t="n">
        <v>61.61</v>
      </c>
    </row>
    <row r="62">
      <c r="A62" s="2" t="inlineStr">
        <is>
          <t>PitchingWedge</t>
        </is>
      </c>
      <c r="B62" s="2" t="inlineStr">
        <is>
          <t>b3a2c79a-185d-4fe7-a637-11c3dd15c056</t>
        </is>
      </c>
      <c r="C62" s="2" t="inlineStr">
        <is>
          <t>2025-08-05 09:46:16</t>
        </is>
      </c>
      <c r="D62" s="3" t="n">
        <v>69.13</v>
      </c>
      <c r="E62" s="3" t="n">
        <v>86.56999999999999</v>
      </c>
      <c r="F62" s="3" t="n">
        <v>1.25</v>
      </c>
      <c r="G62" s="3" t="n">
        <v>109.88</v>
      </c>
      <c r="H62" s="3" t="n">
        <v>116.86</v>
      </c>
      <c r="I62" s="3" t="n">
        <v>4.01</v>
      </c>
      <c r="J62" s="3" t="n">
        <v>-10.79</v>
      </c>
      <c r="K62" s="3" t="n">
        <v>2</v>
      </c>
      <c r="L62" s="3" t="n">
        <v>-4.44</v>
      </c>
      <c r="M62" s="3" t="n">
        <v>-6.44</v>
      </c>
      <c r="N62" s="3" t="n">
        <v>-2.86</v>
      </c>
      <c r="O62" s="3" t="n">
        <v>-2</v>
      </c>
      <c r="P62" s="3" t="n">
        <v>32.52</v>
      </c>
      <c r="Q62" s="3" t="n">
        <v>25.29</v>
      </c>
      <c r="R62" s="3" t="n">
        <v>35.07</v>
      </c>
      <c r="S62" s="3" t="n">
        <v>6311.51</v>
      </c>
      <c r="T62" s="3" t="n">
        <v>-8.92</v>
      </c>
      <c r="U62" s="3" t="n">
        <v>-19.97</v>
      </c>
      <c r="V62" s="3" t="n">
        <v>-36.35</v>
      </c>
      <c r="W62" s="3" t="n">
        <v>-39.43</v>
      </c>
      <c r="X62" s="3" t="n">
        <v>66.91</v>
      </c>
      <c r="Y62" s="3" t="n">
        <v>46.01</v>
      </c>
      <c r="Z62" s="3" t="n">
        <v>1.28</v>
      </c>
      <c r="AA62" s="3" t="n">
        <v>70.19</v>
      </c>
      <c r="AB62" s="3" t="n">
        <v>1.21</v>
      </c>
      <c r="AC62" s="3" t="n">
        <v>-9.470000000000001</v>
      </c>
      <c r="AD62" s="3" t="n">
        <v>1.85</v>
      </c>
      <c r="AE62" s="3" t="n">
        <v/>
      </c>
      <c r="AF62" s="3" t="n">
        <v>4.87</v>
      </c>
      <c r="AG62" s="3" t="n">
        <v>67.83</v>
      </c>
    </row>
    <row r="63">
      <c r="A63" s="4" t="inlineStr">
        <is>
          <t>PitchingWedge</t>
        </is>
      </c>
      <c r="B63" s="4" t="inlineStr">
        <is>
          <t>efb9a169-fe64-4b77-b868-775be59742be</t>
        </is>
      </c>
      <c r="C63" s="4" t="inlineStr">
        <is>
          <t>2025-08-05 09:46:30</t>
        </is>
      </c>
      <c r="D63" s="5" t="n">
        <v>69.16</v>
      </c>
      <c r="E63" s="5" t="n">
        <v>82.39</v>
      </c>
      <c r="F63" s="5" t="n">
        <v>1.19</v>
      </c>
      <c r="G63" s="5" t="n">
        <v>104.91</v>
      </c>
      <c r="H63" s="5" t="n">
        <v>114.27</v>
      </c>
      <c r="I63" s="5" t="n">
        <v>9.539999999999999</v>
      </c>
      <c r="J63" s="5" t="n">
        <v>-12.43</v>
      </c>
      <c r="K63" s="5" t="n">
        <v>6</v>
      </c>
      <c r="L63" s="5" t="n">
        <v>-2.3</v>
      </c>
      <c r="M63" s="5" t="n">
        <v>-8.300000000000001</v>
      </c>
      <c r="N63" s="5" t="n">
        <v>-0.53</v>
      </c>
      <c r="O63" s="5" t="n">
        <v>-0.4</v>
      </c>
      <c r="P63" s="5" t="n">
        <v>32.84</v>
      </c>
      <c r="Q63" s="5" t="n">
        <v>26.8</v>
      </c>
      <c r="R63" s="5" t="n">
        <v>34.32</v>
      </c>
      <c r="S63" s="5" t="n">
        <v>5091</v>
      </c>
      <c r="T63" s="5" t="n">
        <v>-11.74</v>
      </c>
      <c r="U63" s="5" t="n">
        <v>-22.24</v>
      </c>
      <c r="V63" s="5" t="n">
        <v>-25.16</v>
      </c>
      <c r="W63" s="5" t="n">
        <v>-28.65</v>
      </c>
      <c r="X63" s="5" t="n">
        <v>62.98</v>
      </c>
      <c r="Y63" s="5" t="n">
        <v>44.79</v>
      </c>
      <c r="Z63" s="5" t="n">
        <v>5.78</v>
      </c>
      <c r="AA63" s="5" t="n">
        <v>75.61</v>
      </c>
      <c r="AB63" s="5" t="n">
        <v>1.14</v>
      </c>
      <c r="AC63" s="5" t="n">
        <v>-12.31</v>
      </c>
      <c r="AD63" s="5" t="n">
        <v>0.51</v>
      </c>
      <c r="AE63" s="5" t="n">
        <v/>
      </c>
      <c r="AF63" s="5" t="n">
        <v>4.67</v>
      </c>
      <c r="AG63" s="5" t="n">
        <v>68.64</v>
      </c>
    </row>
    <row r="64">
      <c r="A64" s="2" t="inlineStr">
        <is>
          <t>PitchingWedge</t>
        </is>
      </c>
      <c r="B64" s="2" t="inlineStr">
        <is>
          <t>3e379331-1cfe-4388-8966-53c1f4a1f449</t>
        </is>
      </c>
      <c r="C64" s="2" t="inlineStr">
        <is>
          <t>2025-08-05 09:46:46</t>
        </is>
      </c>
      <c r="D64" s="3" t="n">
        <v>69.55</v>
      </c>
      <c r="E64" s="3" t="n">
        <v>87.09</v>
      </c>
      <c r="F64" s="3" t="n">
        <v>1.25</v>
      </c>
      <c r="G64" s="3" t="n">
        <v>109.63</v>
      </c>
      <c r="H64" s="3" t="n">
        <v>114.79</v>
      </c>
      <c r="I64" s="3" t="n">
        <v>6.47</v>
      </c>
      <c r="J64" s="3" t="n">
        <v>-2.28</v>
      </c>
      <c r="K64" s="3" t="n">
        <v>4</v>
      </c>
      <c r="L64" s="3" t="n">
        <v>-1.22</v>
      </c>
      <c r="M64" s="3" t="n">
        <v>-5.22</v>
      </c>
      <c r="N64" s="3" t="n">
        <v>0.06</v>
      </c>
      <c r="O64" s="3" t="n">
        <v>-2.2</v>
      </c>
      <c r="P64" s="3" t="n">
        <v>34.99</v>
      </c>
      <c r="Q64" s="3" t="n">
        <v>27.34</v>
      </c>
      <c r="R64" s="3" t="n">
        <v>37.58</v>
      </c>
      <c r="S64" s="3" t="n">
        <v>6671</v>
      </c>
      <c r="T64" s="3" t="n">
        <v>-6.69</v>
      </c>
      <c r="U64" s="3" t="n">
        <v>-15.65</v>
      </c>
      <c r="V64" s="3" t="n">
        <v>-15.28</v>
      </c>
      <c r="W64" s="3" t="n">
        <v>-16.4</v>
      </c>
      <c r="X64" s="3" t="n">
        <v>74.81999999999999</v>
      </c>
      <c r="Y64" s="3" t="n">
        <v>49.04</v>
      </c>
      <c r="Z64" s="3" t="n">
        <v>3.04</v>
      </c>
      <c r="AA64" s="3" t="n">
        <v>67.55</v>
      </c>
      <c r="AB64" s="3" t="n">
        <v>1.1</v>
      </c>
      <c r="AC64" s="3" t="n">
        <v>-6.98</v>
      </c>
      <c r="AD64" s="3" t="n">
        <v>1.93</v>
      </c>
      <c r="AE64" s="3" t="n">
        <v/>
      </c>
      <c r="AF64" s="3" t="n">
        <v>5.07</v>
      </c>
      <c r="AG64" s="3" t="n">
        <v>66.90000000000001</v>
      </c>
    </row>
    <row r="65">
      <c r="A65" s="4" t="inlineStr">
        <is>
          <t>PitchingWedge</t>
        </is>
      </c>
      <c r="B65" s="4" t="inlineStr">
        <is>
          <t>1942b878-e894-4bda-abc1-9b6addbac72c</t>
        </is>
      </c>
      <c r="C65" s="4" t="inlineStr">
        <is>
          <t>2025-08-05 09:47:02</t>
        </is>
      </c>
      <c r="D65" s="5" t="n">
        <v>70.78</v>
      </c>
      <c r="E65" s="5" t="n">
        <v>87.93000000000001</v>
      </c>
      <c r="F65" s="5" t="n">
        <v>1.24</v>
      </c>
      <c r="G65" s="5" t="n">
        <v>110.76</v>
      </c>
      <c r="H65" s="5" t="n">
        <v>115.62</v>
      </c>
      <c r="I65" s="5" t="n">
        <v>10.36</v>
      </c>
      <c r="J65" s="5" t="n">
        <v>1.54</v>
      </c>
      <c r="K65" s="5" t="n">
        <v>4.6</v>
      </c>
      <c r="L65" s="5" t="n">
        <v>0.09</v>
      </c>
      <c r="M65" s="5" t="n">
        <v>-4.51</v>
      </c>
      <c r="N65" s="5" t="n">
        <v>1.24</v>
      </c>
      <c r="O65" s="5" t="n">
        <v>-1.4</v>
      </c>
      <c r="P65" s="5" t="n">
        <v>34.99</v>
      </c>
      <c r="Q65" s="5" t="n">
        <v>27.25</v>
      </c>
      <c r="R65" s="5" t="n">
        <v>36.7</v>
      </c>
      <c r="S65" s="5" t="n">
        <v>6802.61</v>
      </c>
      <c r="T65" s="5" t="n">
        <v>-5.89</v>
      </c>
      <c r="U65" s="5" t="n">
        <v>-14.19</v>
      </c>
      <c r="V65" s="5" t="n">
        <v>-6.99</v>
      </c>
      <c r="W65" s="5" t="n">
        <v>-7.63</v>
      </c>
      <c r="X65" s="5" t="n">
        <v>76.27</v>
      </c>
      <c r="Y65" s="5" t="n">
        <v>49.38</v>
      </c>
      <c r="Z65" s="5" t="n">
        <v>4.01</v>
      </c>
      <c r="AA65" s="5" t="n">
        <v>68.38</v>
      </c>
      <c r="AB65" s="5" t="n">
        <v>1.07</v>
      </c>
      <c r="AC65" s="5" t="n">
        <v>-6.16</v>
      </c>
      <c r="AD65" s="5" t="n">
        <v>1.18</v>
      </c>
      <c r="AE65" s="5" t="n">
        <v/>
      </c>
      <c r="AF65" s="5" t="n">
        <v>5.12</v>
      </c>
      <c r="AG65" s="5" t="n">
        <v>67.34999999999999</v>
      </c>
    </row>
  </sheetData>
  <autoFilter ref="A1:AG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2025-10-30T22:11:58Z</dcterms:created>
  <dcterms:modified xsi:type="dcterms:W3CDTF">2025-10-30T22:11:58Z</dcterms:modified>
</cp:coreProperties>
</file>